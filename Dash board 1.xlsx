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D:\Dash board\"/>
    </mc:Choice>
  </mc:AlternateContent>
  <xr:revisionPtr revIDLastSave="0" documentId="13_ncr:1_{D39C114B-8F48-42E6-83D4-221ECA290F9B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Data" sheetId="2" r:id="rId1"/>
    <sheet name="KPI" sheetId="3" r:id="rId2"/>
    <sheet name="Charts" sheetId="4" r:id="rId3"/>
    <sheet name="Sheet5" sheetId="5" r:id="rId4"/>
  </sheets>
  <definedNames>
    <definedName name="_xlchart.v5.0" hidden="1">Charts!$F$33</definedName>
    <definedName name="_xlchart.v5.1" hidden="1">Charts!$F$34:$F$45</definedName>
    <definedName name="_xlchart.v5.2" hidden="1">Charts!$G$33</definedName>
    <definedName name="_xlchart.v5.3" hidden="1">Charts!$G$34:$G$45</definedName>
    <definedName name="_xlchart.v5.4" hidden="1">Charts!$F$33</definedName>
    <definedName name="_xlchart.v5.5" hidden="1">Charts!$F$34:$F$45</definedName>
    <definedName name="_xlchart.v5.6" hidden="1">Charts!$G$33</definedName>
    <definedName name="_xlchart.v5.7" hidden="1">Charts!$G$34:$G$45</definedName>
    <definedName name="_xlcn.WorksheetConnection_Dashboard1.xlsxData1" hidden="1">Data[]</definedName>
    <definedName name="ExternalData_1" localSheetId="0" hidden="1">Data!$A$1:$J$1301</definedName>
  </definedNames>
  <calcPr calcId="191029"/>
  <pivotCaches>
    <pivotCache cacheId="726" r:id="rId5"/>
    <pivotCache cacheId="729" r:id="rId6"/>
    <pivotCache cacheId="732" r:id="rId7"/>
    <pivotCache cacheId="735" r:id="rId8"/>
    <pivotCache cacheId="738" r:id="rId9"/>
    <pivotCache cacheId="741" r:id="rId10"/>
    <pivotCache cacheId="744" r:id="rId11"/>
    <pivotCache cacheId="75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Dash board 1.xlsx!Data"/>
        </x15:modelTables>
      </x15:dataModel>
    </ext>
  </extLst>
</workbook>
</file>

<file path=xl/calcChain.xml><?xml version="1.0" encoding="utf-8"?>
<calcChain xmlns="http://schemas.openxmlformats.org/spreadsheetml/2006/main">
  <c r="K5" i="5" l="1"/>
  <c r="H3" i="3"/>
  <c r="H2" i="5" s="1"/>
  <c r="H4" i="3"/>
  <c r="H3" i="5" s="1"/>
  <c r="H6" i="3"/>
  <c r="H5" i="5" s="1"/>
  <c r="H7" i="3"/>
  <c r="H6" i="5" s="1"/>
  <c r="I3" i="3"/>
  <c r="K2" i="5" s="1"/>
  <c r="I4" i="3"/>
  <c r="K3" i="5" s="1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I7" i="3"/>
  <c r="C15" i="3"/>
  <c r="K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47E14C-19AC-44E6-A485-DFDE5070C16C}" keepAlive="1" name="Query - raw data one month sales Report" description="Connection to the 'raw data one month sales Report' query in the workbook." type="5" refreshedVersion="6" background="1" saveData="1">
    <dbPr connection="Provider=Microsoft.Mashup.OleDb.1;Data Source=$Workbook$;Location=raw data one month sales Report;Extended Properties=&quot;&quot;" command="SELECT * FROM [raw data one month sales Report]"/>
  </connection>
  <connection id="2" xr16:uid="{19AE09A7-6C7A-456B-BBE9-CABF386D44B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466980D-B17A-45D4-B4F6-F5B943A033DB}" name="WorksheetConnection_Dash board 1.xlsx!Data" type="102" refreshedVersion="6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Dashboard1.xlsxData1"/>
        </x15:connection>
      </ext>
    </extLst>
  </connection>
</connections>
</file>

<file path=xl/sharedStrings.xml><?xml version="1.0" encoding="utf-8"?>
<sst xmlns="http://schemas.openxmlformats.org/spreadsheetml/2006/main" count="5266" uniqueCount="1349">
  <si>
    <t>Order IDs</t>
  </si>
  <si>
    <t>Date</t>
  </si>
  <si>
    <t>Item</t>
  </si>
  <si>
    <t>Sales Rep</t>
  </si>
  <si>
    <t>Quantity</t>
  </si>
  <si>
    <t>Price</t>
  </si>
  <si>
    <t>Total Sales</t>
  </si>
  <si>
    <t>Commission</t>
  </si>
  <si>
    <t>Total Commision</t>
  </si>
  <si>
    <t>State</t>
  </si>
  <si>
    <t>Order Id = 1</t>
  </si>
  <si>
    <t>Printer</t>
  </si>
  <si>
    <t>John</t>
  </si>
  <si>
    <t>Meghalaya</t>
  </si>
  <si>
    <t>Order Id = 2</t>
  </si>
  <si>
    <t>White Board</t>
  </si>
  <si>
    <t>Mark</t>
  </si>
  <si>
    <t>Uttar Pradesh</t>
  </si>
  <si>
    <t>Order Id = 3</t>
  </si>
  <si>
    <t>Office Chair</t>
  </si>
  <si>
    <t>Maharashtra</t>
  </si>
  <si>
    <t>Order Id = 4</t>
  </si>
  <si>
    <t>Delhi</t>
  </si>
  <si>
    <t>Order Id = 5</t>
  </si>
  <si>
    <t>Laura</t>
  </si>
  <si>
    <t>West Bengal</t>
  </si>
  <si>
    <t>Order Id = 6</t>
  </si>
  <si>
    <t>Stacey</t>
  </si>
  <si>
    <t>Bihar</t>
  </si>
  <si>
    <t>Order Id = 7</t>
  </si>
  <si>
    <t>Diary</t>
  </si>
  <si>
    <t>Bob</t>
  </si>
  <si>
    <t>Goa</t>
  </si>
  <si>
    <t>Order Id = 8</t>
  </si>
  <si>
    <t>Projector</t>
  </si>
  <si>
    <t>Karnataka</t>
  </si>
  <si>
    <t>Order Id = 9</t>
  </si>
  <si>
    <t>Gujarat</t>
  </si>
  <si>
    <t>Order Id = 10</t>
  </si>
  <si>
    <t>Jharkhand</t>
  </si>
  <si>
    <t>Order Id = 11</t>
  </si>
  <si>
    <t>Haryana</t>
  </si>
  <si>
    <t>Order Id = 12</t>
  </si>
  <si>
    <t>Kerala</t>
  </si>
  <si>
    <t>Order Id = 13</t>
  </si>
  <si>
    <t>Order Id = 14</t>
  </si>
  <si>
    <t>Order Id = 15</t>
  </si>
  <si>
    <t>Order Id = 16</t>
  </si>
  <si>
    <t>Order Id = 17</t>
  </si>
  <si>
    <t>Order Id = 18</t>
  </si>
  <si>
    <t>Order Id = 19</t>
  </si>
  <si>
    <t>Order Id = 20</t>
  </si>
  <si>
    <t>Order Id = 21</t>
  </si>
  <si>
    <t>Order Id = 22</t>
  </si>
  <si>
    <t>Order Id = 23</t>
  </si>
  <si>
    <t>Order Id = 24</t>
  </si>
  <si>
    <t>Order Id = 25</t>
  </si>
  <si>
    <t>Order Id = 26</t>
  </si>
  <si>
    <t>Order Id = 27</t>
  </si>
  <si>
    <t>Order Id = 28</t>
  </si>
  <si>
    <t>Order Id = 29</t>
  </si>
  <si>
    <t>Order Id = 30</t>
  </si>
  <si>
    <t>Order Id = 31</t>
  </si>
  <si>
    <t>Order Id = 32</t>
  </si>
  <si>
    <t>Order Id = 33</t>
  </si>
  <si>
    <t>Order Id = 34</t>
  </si>
  <si>
    <t>Order Id = 35</t>
  </si>
  <si>
    <t>Order Id = 36</t>
  </si>
  <si>
    <t>Order Id = 37</t>
  </si>
  <si>
    <t>Order Id = 38</t>
  </si>
  <si>
    <t>Order Id = 39</t>
  </si>
  <si>
    <t>Order Id = 40</t>
  </si>
  <si>
    <t>Order Id = 41</t>
  </si>
  <si>
    <t>Order Id = 42</t>
  </si>
  <si>
    <t>Order Id = 43</t>
  </si>
  <si>
    <t>Order Id = 44</t>
  </si>
  <si>
    <t>Order Id = 45</t>
  </si>
  <si>
    <t>Order Id = 46</t>
  </si>
  <si>
    <t>Order Id = 47</t>
  </si>
  <si>
    <t>Order Id = 48</t>
  </si>
  <si>
    <t>Order Id = 49</t>
  </si>
  <si>
    <t>Order Id = 50</t>
  </si>
  <si>
    <t>Order Id = 51</t>
  </si>
  <si>
    <t>Order Id = 52</t>
  </si>
  <si>
    <t>Order Id = 53</t>
  </si>
  <si>
    <t>Order Id = 54</t>
  </si>
  <si>
    <t>Order Id = 55</t>
  </si>
  <si>
    <t>Order Id = 56</t>
  </si>
  <si>
    <t>Order Id = 57</t>
  </si>
  <si>
    <t>Order Id = 58</t>
  </si>
  <si>
    <t>Order Id = 59</t>
  </si>
  <si>
    <t>Order Id = 60</t>
  </si>
  <si>
    <t>Order Id = 61</t>
  </si>
  <si>
    <t>Order Id = 62</t>
  </si>
  <si>
    <t>Order Id = 63</t>
  </si>
  <si>
    <t>Order Id = 64</t>
  </si>
  <si>
    <t>Order Id = 65</t>
  </si>
  <si>
    <t>Order Id = 66</t>
  </si>
  <si>
    <t>Order Id = 67</t>
  </si>
  <si>
    <t>Order Id = 68</t>
  </si>
  <si>
    <t>Order Id = 69</t>
  </si>
  <si>
    <t>Order Id = 70</t>
  </si>
  <si>
    <t>Order Id = 71</t>
  </si>
  <si>
    <t>Order Id = 72</t>
  </si>
  <si>
    <t>Order Id = 73</t>
  </si>
  <si>
    <t>Order Id = 74</t>
  </si>
  <si>
    <t>Order Id = 75</t>
  </si>
  <si>
    <t>Order Id = 76</t>
  </si>
  <si>
    <t>Order Id = 77</t>
  </si>
  <si>
    <t>Order Id = 78</t>
  </si>
  <si>
    <t>Order Id = 79</t>
  </si>
  <si>
    <t>Order Id = 80</t>
  </si>
  <si>
    <t>Order Id = 81</t>
  </si>
  <si>
    <t>Order Id = 82</t>
  </si>
  <si>
    <t>Order Id = 83</t>
  </si>
  <si>
    <t>Order Id = 84</t>
  </si>
  <si>
    <t>Order Id = 85</t>
  </si>
  <si>
    <t>Order Id = 86</t>
  </si>
  <si>
    <t>Order Id = 87</t>
  </si>
  <si>
    <t>Order Id = 88</t>
  </si>
  <si>
    <t>Order Id = 89</t>
  </si>
  <si>
    <t>Order Id = 90</t>
  </si>
  <si>
    <t>Order Id = 91</t>
  </si>
  <si>
    <t>Order Id = 92</t>
  </si>
  <si>
    <t>Order Id = 93</t>
  </si>
  <si>
    <t>Order Id = 94</t>
  </si>
  <si>
    <t>Order Id = 95</t>
  </si>
  <si>
    <t>Order Id = 96</t>
  </si>
  <si>
    <t>Order Id = 97</t>
  </si>
  <si>
    <t>Order Id = 98</t>
  </si>
  <si>
    <t>Order Id = 99</t>
  </si>
  <si>
    <t>Order Id = 100</t>
  </si>
  <si>
    <t>Order Id = 101</t>
  </si>
  <si>
    <t>Order Id = 102</t>
  </si>
  <si>
    <t>Order Id = 103</t>
  </si>
  <si>
    <t>Order Id = 104</t>
  </si>
  <si>
    <t>Order Id = 105</t>
  </si>
  <si>
    <t>Order Id = 106</t>
  </si>
  <si>
    <t>Order Id = 107</t>
  </si>
  <si>
    <t>Order Id = 108</t>
  </si>
  <si>
    <t>Order Id = 109</t>
  </si>
  <si>
    <t>Order Id = 110</t>
  </si>
  <si>
    <t>Order Id = 111</t>
  </si>
  <si>
    <t>Order Id = 112</t>
  </si>
  <si>
    <t>Order Id = 113</t>
  </si>
  <si>
    <t>Order Id = 114</t>
  </si>
  <si>
    <t>Order Id = 115</t>
  </si>
  <si>
    <t>Order Id = 116</t>
  </si>
  <si>
    <t>Order Id = 117</t>
  </si>
  <si>
    <t>Order Id = 118</t>
  </si>
  <si>
    <t>Order Id = 119</t>
  </si>
  <si>
    <t>Order Id = 120</t>
  </si>
  <si>
    <t>Order Id = 121</t>
  </si>
  <si>
    <t>Order Id = 122</t>
  </si>
  <si>
    <t>Order Id = 123</t>
  </si>
  <si>
    <t>Order Id = 124</t>
  </si>
  <si>
    <t>Order Id = 125</t>
  </si>
  <si>
    <t>Order Id = 126</t>
  </si>
  <si>
    <t>Order Id = 127</t>
  </si>
  <si>
    <t>Order Id = 128</t>
  </si>
  <si>
    <t>Order Id = 129</t>
  </si>
  <si>
    <t>Order Id = 130</t>
  </si>
  <si>
    <t>Order Id = 131</t>
  </si>
  <si>
    <t>Order Id = 132</t>
  </si>
  <si>
    <t>Order Id = 133</t>
  </si>
  <si>
    <t>Order Id = 134</t>
  </si>
  <si>
    <t>Order Id = 135</t>
  </si>
  <si>
    <t>Order Id = 136</t>
  </si>
  <si>
    <t>Order Id = 137</t>
  </si>
  <si>
    <t>Order Id = 138</t>
  </si>
  <si>
    <t>Order Id = 139</t>
  </si>
  <si>
    <t>Order Id = 140</t>
  </si>
  <si>
    <t>Order Id = 141</t>
  </si>
  <si>
    <t>Order Id = 142</t>
  </si>
  <si>
    <t>Order Id = 143</t>
  </si>
  <si>
    <t>Order Id = 144</t>
  </si>
  <si>
    <t>Order Id = 145</t>
  </si>
  <si>
    <t>Order Id = 146</t>
  </si>
  <si>
    <t>Order Id = 147</t>
  </si>
  <si>
    <t>Order Id = 148</t>
  </si>
  <si>
    <t>Order Id = 149</t>
  </si>
  <si>
    <t>Order Id = 150</t>
  </si>
  <si>
    <t>Order Id = 151</t>
  </si>
  <si>
    <t>Order Id = 152</t>
  </si>
  <si>
    <t>Order Id = 153</t>
  </si>
  <si>
    <t>Order Id = 154</t>
  </si>
  <si>
    <t>Order Id = 155</t>
  </si>
  <si>
    <t>Order Id = 156</t>
  </si>
  <si>
    <t>Order Id = 157</t>
  </si>
  <si>
    <t>Order Id = 158</t>
  </si>
  <si>
    <t>Order Id = 159</t>
  </si>
  <si>
    <t>Order Id = 160</t>
  </si>
  <si>
    <t>Order Id = 161</t>
  </si>
  <si>
    <t>Order Id = 162</t>
  </si>
  <si>
    <t>Order Id = 163</t>
  </si>
  <si>
    <t>Order Id = 164</t>
  </si>
  <si>
    <t>Order Id = 165</t>
  </si>
  <si>
    <t>Order Id = 166</t>
  </si>
  <si>
    <t>Order Id = 167</t>
  </si>
  <si>
    <t>Order Id = 168</t>
  </si>
  <si>
    <t>Order Id = 169</t>
  </si>
  <si>
    <t>Order Id = 170</t>
  </si>
  <si>
    <t>Order Id = 171</t>
  </si>
  <si>
    <t>Order Id = 172</t>
  </si>
  <si>
    <t>Order Id = 173</t>
  </si>
  <si>
    <t>Order Id = 174</t>
  </si>
  <si>
    <t>Order Id = 175</t>
  </si>
  <si>
    <t>Order Id = 176</t>
  </si>
  <si>
    <t>Order Id = 177</t>
  </si>
  <si>
    <t>Order Id = 178</t>
  </si>
  <si>
    <t>Order Id = 179</t>
  </si>
  <si>
    <t>Order Id = 180</t>
  </si>
  <si>
    <t>Order Id = 181</t>
  </si>
  <si>
    <t>Order Id = 182</t>
  </si>
  <si>
    <t>Order Id = 183</t>
  </si>
  <si>
    <t>Order Id = 184</t>
  </si>
  <si>
    <t>Order Id = 185</t>
  </si>
  <si>
    <t>Order Id = 186</t>
  </si>
  <si>
    <t>Order Id = 187</t>
  </si>
  <si>
    <t>Order Id = 188</t>
  </si>
  <si>
    <t>Order Id = 189</t>
  </si>
  <si>
    <t>Order Id = 190</t>
  </si>
  <si>
    <t>Order Id = 191</t>
  </si>
  <si>
    <t>Order Id = 192</t>
  </si>
  <si>
    <t>Order Id = 193</t>
  </si>
  <si>
    <t>Order Id = 194</t>
  </si>
  <si>
    <t>Order Id = 195</t>
  </si>
  <si>
    <t>Order Id = 196</t>
  </si>
  <si>
    <t>Order Id = 197</t>
  </si>
  <si>
    <t>Order Id = 198</t>
  </si>
  <si>
    <t>Order Id = 199</t>
  </si>
  <si>
    <t>Order Id = 200</t>
  </si>
  <si>
    <t>Order Id = 201</t>
  </si>
  <si>
    <t>Order Id = 202</t>
  </si>
  <si>
    <t>Order Id = 203</t>
  </si>
  <si>
    <t>Order Id = 204</t>
  </si>
  <si>
    <t>Order Id = 205</t>
  </si>
  <si>
    <t>Order Id = 206</t>
  </si>
  <si>
    <t>Order Id = 207</t>
  </si>
  <si>
    <t>Order Id = 208</t>
  </si>
  <si>
    <t>Order Id = 209</t>
  </si>
  <si>
    <t>Order Id = 210</t>
  </si>
  <si>
    <t>Order Id = 211</t>
  </si>
  <si>
    <t>Order Id = 212</t>
  </si>
  <si>
    <t>Order Id = 213</t>
  </si>
  <si>
    <t>Order Id = 214</t>
  </si>
  <si>
    <t>Order Id = 215</t>
  </si>
  <si>
    <t>Order Id = 216</t>
  </si>
  <si>
    <t>Order Id = 217</t>
  </si>
  <si>
    <t>Order Id = 218</t>
  </si>
  <si>
    <t>Order Id = 219</t>
  </si>
  <si>
    <t>Order Id = 220</t>
  </si>
  <si>
    <t>Order Id = 221</t>
  </si>
  <si>
    <t>Order Id = 222</t>
  </si>
  <si>
    <t>Order Id = 223</t>
  </si>
  <si>
    <t>Order Id = 224</t>
  </si>
  <si>
    <t>Order Id = 225</t>
  </si>
  <si>
    <t>Order Id = 226</t>
  </si>
  <si>
    <t>Order Id = 227</t>
  </si>
  <si>
    <t>Order Id = 228</t>
  </si>
  <si>
    <t>Order Id = 229</t>
  </si>
  <si>
    <t>Order Id = 230</t>
  </si>
  <si>
    <t>Order Id = 231</t>
  </si>
  <si>
    <t>Order Id = 232</t>
  </si>
  <si>
    <t>Order Id = 233</t>
  </si>
  <si>
    <t>Order Id = 234</t>
  </si>
  <si>
    <t>Order Id = 235</t>
  </si>
  <si>
    <t>Order Id = 236</t>
  </si>
  <si>
    <t>Order Id = 237</t>
  </si>
  <si>
    <t>Order Id = 238</t>
  </si>
  <si>
    <t>Order Id = 239</t>
  </si>
  <si>
    <t>Order Id = 240</t>
  </si>
  <si>
    <t>Order Id = 241</t>
  </si>
  <si>
    <t>Order Id = 242</t>
  </si>
  <si>
    <t>Order Id = 243</t>
  </si>
  <si>
    <t>Order Id = 244</t>
  </si>
  <si>
    <t>Order Id = 245</t>
  </si>
  <si>
    <t>Order Id = 246</t>
  </si>
  <si>
    <t>Order Id = 247</t>
  </si>
  <si>
    <t>Order Id = 248</t>
  </si>
  <si>
    <t>Order Id = 249</t>
  </si>
  <si>
    <t>Order Id = 250</t>
  </si>
  <si>
    <t>Order Id = 251</t>
  </si>
  <si>
    <t>Order Id = 252</t>
  </si>
  <si>
    <t>Order Id = 253</t>
  </si>
  <si>
    <t>Order Id = 254</t>
  </si>
  <si>
    <t>Order Id = 255</t>
  </si>
  <si>
    <t>Order Id = 256</t>
  </si>
  <si>
    <t>Order Id = 257</t>
  </si>
  <si>
    <t>Order Id = 258</t>
  </si>
  <si>
    <t>Order Id = 259</t>
  </si>
  <si>
    <t>Order Id = 260</t>
  </si>
  <si>
    <t>Order Id = 261</t>
  </si>
  <si>
    <t>Order Id = 262</t>
  </si>
  <si>
    <t>Order Id = 263</t>
  </si>
  <si>
    <t>Order Id = 264</t>
  </si>
  <si>
    <t>Order Id = 265</t>
  </si>
  <si>
    <t>Order Id = 266</t>
  </si>
  <si>
    <t>Order Id = 267</t>
  </si>
  <si>
    <t>Order Id = 268</t>
  </si>
  <si>
    <t>Order Id = 269</t>
  </si>
  <si>
    <t>Order Id = 270</t>
  </si>
  <si>
    <t>Order Id = 271</t>
  </si>
  <si>
    <t>Order Id = 272</t>
  </si>
  <si>
    <t>Order Id = 273</t>
  </si>
  <si>
    <t>Order Id = 274</t>
  </si>
  <si>
    <t>Order Id = 275</t>
  </si>
  <si>
    <t>Order Id = 276</t>
  </si>
  <si>
    <t>Order Id = 277</t>
  </si>
  <si>
    <t>Order Id = 278</t>
  </si>
  <si>
    <t>Order Id = 279</t>
  </si>
  <si>
    <t>Order Id = 280</t>
  </si>
  <si>
    <t>Order Id = 281</t>
  </si>
  <si>
    <t>Order Id = 282</t>
  </si>
  <si>
    <t>Order Id = 283</t>
  </si>
  <si>
    <t>Order Id = 284</t>
  </si>
  <si>
    <t>Order Id = 285</t>
  </si>
  <si>
    <t>Order Id = 286</t>
  </si>
  <si>
    <t>Order Id = 287</t>
  </si>
  <si>
    <t>Order Id = 288</t>
  </si>
  <si>
    <t>Order Id = 289</t>
  </si>
  <si>
    <t>Order Id = 290</t>
  </si>
  <si>
    <t>Order Id = 291</t>
  </si>
  <si>
    <t>Order Id = 292</t>
  </si>
  <si>
    <t>Order Id = 293</t>
  </si>
  <si>
    <t>Order Id = 294</t>
  </si>
  <si>
    <t>Order Id = 295</t>
  </si>
  <si>
    <t>Order Id = 296</t>
  </si>
  <si>
    <t>Order Id = 297</t>
  </si>
  <si>
    <t>Order Id = 298</t>
  </si>
  <si>
    <t>Order Id = 299</t>
  </si>
  <si>
    <t>Order Id = 300</t>
  </si>
  <si>
    <t>Order Id = 301</t>
  </si>
  <si>
    <t>Order Id = 302</t>
  </si>
  <si>
    <t>Order Id = 303</t>
  </si>
  <si>
    <t>Order Id = 304</t>
  </si>
  <si>
    <t>Order Id = 305</t>
  </si>
  <si>
    <t>Order Id = 306</t>
  </si>
  <si>
    <t>Order Id = 307</t>
  </si>
  <si>
    <t>Order Id = 308</t>
  </si>
  <si>
    <t>Order Id = 309</t>
  </si>
  <si>
    <t>Order Id = 310</t>
  </si>
  <si>
    <t>Order Id = 311</t>
  </si>
  <si>
    <t>Order Id = 312</t>
  </si>
  <si>
    <t>Order Id = 313</t>
  </si>
  <si>
    <t>Order Id = 314</t>
  </si>
  <si>
    <t>Order Id = 315</t>
  </si>
  <si>
    <t>Order Id = 316</t>
  </si>
  <si>
    <t>Order Id = 317</t>
  </si>
  <si>
    <t>Order Id = 318</t>
  </si>
  <si>
    <t>Order Id = 319</t>
  </si>
  <si>
    <t>Order Id = 320</t>
  </si>
  <si>
    <t>Order Id = 321</t>
  </si>
  <si>
    <t>Order Id = 322</t>
  </si>
  <si>
    <t>Order Id = 323</t>
  </si>
  <si>
    <t>Order Id = 324</t>
  </si>
  <si>
    <t>Order Id = 325</t>
  </si>
  <si>
    <t>Order Id = 326</t>
  </si>
  <si>
    <t>Order Id = 327</t>
  </si>
  <si>
    <t>Order Id = 328</t>
  </si>
  <si>
    <t>Order Id = 329</t>
  </si>
  <si>
    <t>Order Id = 330</t>
  </si>
  <si>
    <t>Order Id = 331</t>
  </si>
  <si>
    <t>Order Id = 332</t>
  </si>
  <si>
    <t>Order Id = 333</t>
  </si>
  <si>
    <t>Order Id = 334</t>
  </si>
  <si>
    <t>Order Id = 335</t>
  </si>
  <si>
    <t>Order Id = 336</t>
  </si>
  <si>
    <t>Order Id = 337</t>
  </si>
  <si>
    <t>Order Id = 338</t>
  </si>
  <si>
    <t>Order Id = 339</t>
  </si>
  <si>
    <t>Order Id = 340</t>
  </si>
  <si>
    <t>Order Id = 341</t>
  </si>
  <si>
    <t>Order Id = 342</t>
  </si>
  <si>
    <t>Order Id = 343</t>
  </si>
  <si>
    <t>Order Id = 344</t>
  </si>
  <si>
    <t>Order Id = 345</t>
  </si>
  <si>
    <t>Order Id = 346</t>
  </si>
  <si>
    <t>Order Id = 347</t>
  </si>
  <si>
    <t>Order Id = 348</t>
  </si>
  <si>
    <t>Order Id = 349</t>
  </si>
  <si>
    <t>Order Id = 350</t>
  </si>
  <si>
    <t>Order Id = 351</t>
  </si>
  <si>
    <t>Order Id = 352</t>
  </si>
  <si>
    <t>Order Id = 353</t>
  </si>
  <si>
    <t>Order Id = 354</t>
  </si>
  <si>
    <t>Order Id = 355</t>
  </si>
  <si>
    <t>Order Id = 356</t>
  </si>
  <si>
    <t>Order Id = 357</t>
  </si>
  <si>
    <t>Order Id = 358</t>
  </si>
  <si>
    <t>Order Id = 359</t>
  </si>
  <si>
    <t>Order Id = 360</t>
  </si>
  <si>
    <t>Order Id = 361</t>
  </si>
  <si>
    <t>Order Id = 362</t>
  </si>
  <si>
    <t>Order Id = 363</t>
  </si>
  <si>
    <t>Order Id = 364</t>
  </si>
  <si>
    <t>Order Id = 365</t>
  </si>
  <si>
    <t>Order Id = 366</t>
  </si>
  <si>
    <t>Order Id = 367</t>
  </si>
  <si>
    <t>Order Id = 368</t>
  </si>
  <si>
    <t>Order Id = 369</t>
  </si>
  <si>
    <t>Order Id = 370</t>
  </si>
  <si>
    <t>Order Id = 371</t>
  </si>
  <si>
    <t>Order Id = 372</t>
  </si>
  <si>
    <t>Order Id = 373</t>
  </si>
  <si>
    <t>Order Id = 374</t>
  </si>
  <si>
    <t>Order Id = 375</t>
  </si>
  <si>
    <t>Order Id = 376</t>
  </si>
  <si>
    <t>Order Id = 377</t>
  </si>
  <si>
    <t>Order Id = 378</t>
  </si>
  <si>
    <t>Order Id = 379</t>
  </si>
  <si>
    <t>Order Id = 380</t>
  </si>
  <si>
    <t>Order Id = 381</t>
  </si>
  <si>
    <t>Order Id = 382</t>
  </si>
  <si>
    <t>Order Id = 383</t>
  </si>
  <si>
    <t>Order Id = 384</t>
  </si>
  <si>
    <t>Order Id = 385</t>
  </si>
  <si>
    <t>Order Id = 386</t>
  </si>
  <si>
    <t>Order Id = 387</t>
  </si>
  <si>
    <t>Order Id = 388</t>
  </si>
  <si>
    <t>Order Id = 389</t>
  </si>
  <si>
    <t>Order Id = 390</t>
  </si>
  <si>
    <t>Order Id = 391</t>
  </si>
  <si>
    <t>Order Id = 392</t>
  </si>
  <si>
    <t>Order Id = 393</t>
  </si>
  <si>
    <t>Order Id = 394</t>
  </si>
  <si>
    <t>Order Id = 395</t>
  </si>
  <si>
    <t>Order Id = 396</t>
  </si>
  <si>
    <t>Order Id = 397</t>
  </si>
  <si>
    <t>Order Id = 398</t>
  </si>
  <si>
    <t>Order Id = 399</t>
  </si>
  <si>
    <t>Order Id = 400</t>
  </si>
  <si>
    <t>Order Id = 401</t>
  </si>
  <si>
    <t>Order Id = 402</t>
  </si>
  <si>
    <t>Order Id = 403</t>
  </si>
  <si>
    <t>Order Id = 404</t>
  </si>
  <si>
    <t>Order Id = 405</t>
  </si>
  <si>
    <t>Order Id = 406</t>
  </si>
  <si>
    <t>Order Id = 407</t>
  </si>
  <si>
    <t>Order Id = 408</t>
  </si>
  <si>
    <t>Order Id = 409</t>
  </si>
  <si>
    <t>Order Id = 410</t>
  </si>
  <si>
    <t>Order Id = 411</t>
  </si>
  <si>
    <t>Order Id = 412</t>
  </si>
  <si>
    <t>Order Id = 413</t>
  </si>
  <si>
    <t>Order Id = 414</t>
  </si>
  <si>
    <t>Order Id = 415</t>
  </si>
  <si>
    <t>Order Id = 416</t>
  </si>
  <si>
    <t>Order Id = 417</t>
  </si>
  <si>
    <t>Order Id = 418</t>
  </si>
  <si>
    <t>Order Id = 419</t>
  </si>
  <si>
    <t>Order Id = 420</t>
  </si>
  <si>
    <t>Order Id = 421</t>
  </si>
  <si>
    <t>Order Id = 422</t>
  </si>
  <si>
    <t>Order Id = 423</t>
  </si>
  <si>
    <t>Order Id = 424</t>
  </si>
  <si>
    <t>Order Id = 425</t>
  </si>
  <si>
    <t>Order Id = 426</t>
  </si>
  <si>
    <t>Order Id = 427</t>
  </si>
  <si>
    <t>Order Id = 428</t>
  </si>
  <si>
    <t>Order Id = 429</t>
  </si>
  <si>
    <t>Order Id = 430</t>
  </si>
  <si>
    <t>Order Id = 431</t>
  </si>
  <si>
    <t>Order Id = 432</t>
  </si>
  <si>
    <t>Order Id = 433</t>
  </si>
  <si>
    <t>Order Id = 434</t>
  </si>
  <si>
    <t>Order Id = 435</t>
  </si>
  <si>
    <t>Order Id = 436</t>
  </si>
  <si>
    <t>Order Id = 437</t>
  </si>
  <si>
    <t>Order Id = 438</t>
  </si>
  <si>
    <t>Order Id = 439</t>
  </si>
  <si>
    <t>Order Id = 440</t>
  </si>
  <si>
    <t>Order Id = 441</t>
  </si>
  <si>
    <t>Order Id = 442</t>
  </si>
  <si>
    <t>Order Id = 443</t>
  </si>
  <si>
    <t>Order Id = 444</t>
  </si>
  <si>
    <t>Order Id = 445</t>
  </si>
  <si>
    <t>Order Id = 446</t>
  </si>
  <si>
    <t>Order Id = 447</t>
  </si>
  <si>
    <t>Order Id = 448</t>
  </si>
  <si>
    <t>Order Id = 449</t>
  </si>
  <si>
    <t>Order Id = 450</t>
  </si>
  <si>
    <t>Order Id = 451</t>
  </si>
  <si>
    <t>Order Id = 452</t>
  </si>
  <si>
    <t>Order Id = 453</t>
  </si>
  <si>
    <t>Order Id = 454</t>
  </si>
  <si>
    <t>Order Id = 455</t>
  </si>
  <si>
    <t>Order Id = 456</t>
  </si>
  <si>
    <t>Order Id = 457</t>
  </si>
  <si>
    <t>Order Id = 458</t>
  </si>
  <si>
    <t>Order Id = 459</t>
  </si>
  <si>
    <t>Order Id = 460</t>
  </si>
  <si>
    <t>Order Id = 461</t>
  </si>
  <si>
    <t>Order Id = 462</t>
  </si>
  <si>
    <t>Order Id = 463</t>
  </si>
  <si>
    <t>Order Id = 464</t>
  </si>
  <si>
    <t>Order Id = 465</t>
  </si>
  <si>
    <t>Order Id = 466</t>
  </si>
  <si>
    <t>Order Id = 467</t>
  </si>
  <si>
    <t>Order Id = 468</t>
  </si>
  <si>
    <t>Order Id = 469</t>
  </si>
  <si>
    <t>Order Id = 470</t>
  </si>
  <si>
    <t>Order Id = 471</t>
  </si>
  <si>
    <t>Order Id = 472</t>
  </si>
  <si>
    <t>Order Id = 473</t>
  </si>
  <si>
    <t>Order Id = 474</t>
  </si>
  <si>
    <t>Order Id = 475</t>
  </si>
  <si>
    <t>Order Id = 476</t>
  </si>
  <si>
    <t>Order Id = 477</t>
  </si>
  <si>
    <t>Order Id = 478</t>
  </si>
  <si>
    <t>Order Id = 479</t>
  </si>
  <si>
    <t>Order Id = 480</t>
  </si>
  <si>
    <t>Order Id = 481</t>
  </si>
  <si>
    <t>Order Id = 482</t>
  </si>
  <si>
    <t>Order Id = 483</t>
  </si>
  <si>
    <t>Order Id = 484</t>
  </si>
  <si>
    <t>Order Id = 485</t>
  </si>
  <si>
    <t>Order Id = 486</t>
  </si>
  <si>
    <t>Order Id = 487</t>
  </si>
  <si>
    <t>Order Id = 488</t>
  </si>
  <si>
    <t>Order Id = 489</t>
  </si>
  <si>
    <t>Order Id = 490</t>
  </si>
  <si>
    <t>Order Id = 491</t>
  </si>
  <si>
    <t>Order Id = 492</t>
  </si>
  <si>
    <t>Order Id = 493</t>
  </si>
  <si>
    <t>Order Id = 494</t>
  </si>
  <si>
    <t>Order Id = 495</t>
  </si>
  <si>
    <t>Order Id = 496</t>
  </si>
  <si>
    <t>Order Id = 497</t>
  </si>
  <si>
    <t>Order Id = 498</t>
  </si>
  <si>
    <t>Order Id = 499</t>
  </si>
  <si>
    <t>Order Id = 500</t>
  </si>
  <si>
    <t>Order Id = 501</t>
  </si>
  <si>
    <t>Order Id = 502</t>
  </si>
  <si>
    <t>Order Id = 503</t>
  </si>
  <si>
    <t>Order Id = 504</t>
  </si>
  <si>
    <t>Order Id = 505</t>
  </si>
  <si>
    <t>Order Id = 506</t>
  </si>
  <si>
    <t>Order Id = 507</t>
  </si>
  <si>
    <t>Order Id = 508</t>
  </si>
  <si>
    <t>Order Id = 509</t>
  </si>
  <si>
    <t>Order Id = 510</t>
  </si>
  <si>
    <t>Order Id = 511</t>
  </si>
  <si>
    <t>Order Id = 512</t>
  </si>
  <si>
    <t>Order Id = 513</t>
  </si>
  <si>
    <t>Order Id = 514</t>
  </si>
  <si>
    <t>Order Id = 515</t>
  </si>
  <si>
    <t>Order Id = 516</t>
  </si>
  <si>
    <t>Order Id = 517</t>
  </si>
  <si>
    <t>Order Id = 518</t>
  </si>
  <si>
    <t>Order Id = 519</t>
  </si>
  <si>
    <t>Order Id = 520</t>
  </si>
  <si>
    <t>Order Id = 521</t>
  </si>
  <si>
    <t>Order Id = 522</t>
  </si>
  <si>
    <t>Order Id = 523</t>
  </si>
  <si>
    <t>Order Id = 524</t>
  </si>
  <si>
    <t>Order Id = 525</t>
  </si>
  <si>
    <t>Order Id = 526</t>
  </si>
  <si>
    <t>Order Id = 527</t>
  </si>
  <si>
    <t>Order Id = 528</t>
  </si>
  <si>
    <t>Order Id = 529</t>
  </si>
  <si>
    <t>Order Id = 530</t>
  </si>
  <si>
    <t>Order Id = 531</t>
  </si>
  <si>
    <t>Order Id = 532</t>
  </si>
  <si>
    <t>Order Id = 533</t>
  </si>
  <si>
    <t>Order Id = 534</t>
  </si>
  <si>
    <t>Order Id = 535</t>
  </si>
  <si>
    <t>Order Id = 536</t>
  </si>
  <si>
    <t>Order Id = 537</t>
  </si>
  <si>
    <t>Order Id = 538</t>
  </si>
  <si>
    <t>Order Id = 539</t>
  </si>
  <si>
    <t>Order Id = 540</t>
  </si>
  <si>
    <t>Order Id = 541</t>
  </si>
  <si>
    <t>Order Id = 542</t>
  </si>
  <si>
    <t>Order Id = 543</t>
  </si>
  <si>
    <t>Order Id = 544</t>
  </si>
  <si>
    <t>Order Id = 545</t>
  </si>
  <si>
    <t>Order Id = 546</t>
  </si>
  <si>
    <t>Order Id = 547</t>
  </si>
  <si>
    <t>Order Id = 548</t>
  </si>
  <si>
    <t>Order Id = 549</t>
  </si>
  <si>
    <t>Order Id = 550</t>
  </si>
  <si>
    <t>Order Id = 551</t>
  </si>
  <si>
    <t>Order Id = 552</t>
  </si>
  <si>
    <t>Order Id = 553</t>
  </si>
  <si>
    <t>Order Id = 554</t>
  </si>
  <si>
    <t>Order Id = 555</t>
  </si>
  <si>
    <t>Order Id = 556</t>
  </si>
  <si>
    <t>Order Id = 557</t>
  </si>
  <si>
    <t>Order Id = 558</t>
  </si>
  <si>
    <t>Order Id = 559</t>
  </si>
  <si>
    <t>Order Id = 560</t>
  </si>
  <si>
    <t>Order Id = 561</t>
  </si>
  <si>
    <t>Order Id = 562</t>
  </si>
  <si>
    <t>Order Id = 563</t>
  </si>
  <si>
    <t>Order Id = 564</t>
  </si>
  <si>
    <t>Order Id = 565</t>
  </si>
  <si>
    <t>Order Id = 566</t>
  </si>
  <si>
    <t>Order Id = 567</t>
  </si>
  <si>
    <t>Order Id = 568</t>
  </si>
  <si>
    <t>Order Id = 569</t>
  </si>
  <si>
    <t>Order Id = 570</t>
  </si>
  <si>
    <t>Order Id = 571</t>
  </si>
  <si>
    <t>Order Id = 572</t>
  </si>
  <si>
    <t>Order Id = 573</t>
  </si>
  <si>
    <t>Order Id = 574</t>
  </si>
  <si>
    <t>Order Id = 575</t>
  </si>
  <si>
    <t>Order Id = 576</t>
  </si>
  <si>
    <t>Order Id = 577</t>
  </si>
  <si>
    <t>Order Id = 578</t>
  </si>
  <si>
    <t>Order Id = 579</t>
  </si>
  <si>
    <t>Order Id = 580</t>
  </si>
  <si>
    <t>Order Id = 581</t>
  </si>
  <si>
    <t>Order Id = 582</t>
  </si>
  <si>
    <t>Order Id = 583</t>
  </si>
  <si>
    <t>Order Id = 584</t>
  </si>
  <si>
    <t>Order Id = 585</t>
  </si>
  <si>
    <t>Order Id = 586</t>
  </si>
  <si>
    <t>Order Id = 587</t>
  </si>
  <si>
    <t>Order Id = 588</t>
  </si>
  <si>
    <t>Order Id = 589</t>
  </si>
  <si>
    <t>Order Id = 590</t>
  </si>
  <si>
    <t>Order Id = 591</t>
  </si>
  <si>
    <t>Order Id = 592</t>
  </si>
  <si>
    <t>Order Id = 593</t>
  </si>
  <si>
    <t>Order Id = 594</t>
  </si>
  <si>
    <t>Order Id = 595</t>
  </si>
  <si>
    <t>Order Id = 596</t>
  </si>
  <si>
    <t>Order Id = 597</t>
  </si>
  <si>
    <t>Order Id = 598</t>
  </si>
  <si>
    <t>Order Id = 599</t>
  </si>
  <si>
    <t>Order Id = 600</t>
  </si>
  <si>
    <t>Order Id = 601</t>
  </si>
  <si>
    <t>Order Id = 602</t>
  </si>
  <si>
    <t>Order Id = 603</t>
  </si>
  <si>
    <t>Order Id = 604</t>
  </si>
  <si>
    <t>Order Id = 605</t>
  </si>
  <si>
    <t>Order Id = 606</t>
  </si>
  <si>
    <t>Order Id = 607</t>
  </si>
  <si>
    <t>Order Id = 608</t>
  </si>
  <si>
    <t>Order Id = 609</t>
  </si>
  <si>
    <t>Order Id = 610</t>
  </si>
  <si>
    <t>Order Id = 611</t>
  </si>
  <si>
    <t>Order Id = 612</t>
  </si>
  <si>
    <t>Order Id = 613</t>
  </si>
  <si>
    <t>Order Id = 614</t>
  </si>
  <si>
    <t>Order Id = 615</t>
  </si>
  <si>
    <t>Order Id = 616</t>
  </si>
  <si>
    <t>Order Id = 617</t>
  </si>
  <si>
    <t>Order Id = 618</t>
  </si>
  <si>
    <t>Order Id = 619</t>
  </si>
  <si>
    <t>Order Id = 620</t>
  </si>
  <si>
    <t>Order Id = 621</t>
  </si>
  <si>
    <t>Order Id = 622</t>
  </si>
  <si>
    <t>Order Id = 623</t>
  </si>
  <si>
    <t>Order Id = 624</t>
  </si>
  <si>
    <t>Order Id = 625</t>
  </si>
  <si>
    <t>Order Id = 626</t>
  </si>
  <si>
    <t>Order Id = 627</t>
  </si>
  <si>
    <t>Order Id = 628</t>
  </si>
  <si>
    <t>Order Id = 629</t>
  </si>
  <si>
    <t>Order Id = 630</t>
  </si>
  <si>
    <t>Order Id = 631</t>
  </si>
  <si>
    <t>Order Id = 632</t>
  </si>
  <si>
    <t>Order Id = 633</t>
  </si>
  <si>
    <t>Order Id = 634</t>
  </si>
  <si>
    <t>Order Id = 635</t>
  </si>
  <si>
    <t>Order Id = 636</t>
  </si>
  <si>
    <t>Order Id = 637</t>
  </si>
  <si>
    <t>Order Id = 638</t>
  </si>
  <si>
    <t>Order Id = 639</t>
  </si>
  <si>
    <t>Order Id = 640</t>
  </si>
  <si>
    <t>Order Id = 641</t>
  </si>
  <si>
    <t>Order Id = 642</t>
  </si>
  <si>
    <t>Order Id = 643</t>
  </si>
  <si>
    <t>Order Id = 644</t>
  </si>
  <si>
    <t>Order Id = 645</t>
  </si>
  <si>
    <t>Order Id = 646</t>
  </si>
  <si>
    <t>Order Id = 647</t>
  </si>
  <si>
    <t>Order Id = 648</t>
  </si>
  <si>
    <t>Order Id = 649</t>
  </si>
  <si>
    <t>Order Id = 650</t>
  </si>
  <si>
    <t>Order Id = 651</t>
  </si>
  <si>
    <t>Order Id = 652</t>
  </si>
  <si>
    <t>Order Id = 653</t>
  </si>
  <si>
    <t>Order Id = 654</t>
  </si>
  <si>
    <t>Order Id = 655</t>
  </si>
  <si>
    <t>Order Id = 656</t>
  </si>
  <si>
    <t>Order Id = 657</t>
  </si>
  <si>
    <t>Order Id = 658</t>
  </si>
  <si>
    <t>Order Id = 659</t>
  </si>
  <si>
    <t>Order Id = 660</t>
  </si>
  <si>
    <t>Order Id = 661</t>
  </si>
  <si>
    <t>Order Id = 662</t>
  </si>
  <si>
    <t>Order Id = 663</t>
  </si>
  <si>
    <t>Order Id = 664</t>
  </si>
  <si>
    <t>Order Id = 665</t>
  </si>
  <si>
    <t>Order Id = 666</t>
  </si>
  <si>
    <t>Order Id = 667</t>
  </si>
  <si>
    <t>Order Id = 668</t>
  </si>
  <si>
    <t>Order Id = 669</t>
  </si>
  <si>
    <t>Order Id = 670</t>
  </si>
  <si>
    <t>Order Id = 671</t>
  </si>
  <si>
    <t>Order Id = 672</t>
  </si>
  <si>
    <t>Order Id = 673</t>
  </si>
  <si>
    <t>Order Id = 674</t>
  </si>
  <si>
    <t>Order Id = 675</t>
  </si>
  <si>
    <t>Order Id = 676</t>
  </si>
  <si>
    <t>Order Id = 677</t>
  </si>
  <si>
    <t>Order Id = 678</t>
  </si>
  <si>
    <t>Order Id = 679</t>
  </si>
  <si>
    <t>Order Id = 680</t>
  </si>
  <si>
    <t>Order Id = 681</t>
  </si>
  <si>
    <t>Order Id = 682</t>
  </si>
  <si>
    <t>Order Id = 683</t>
  </si>
  <si>
    <t>Order Id = 684</t>
  </si>
  <si>
    <t>Order Id = 685</t>
  </si>
  <si>
    <t>Order Id = 686</t>
  </si>
  <si>
    <t>Order Id = 687</t>
  </si>
  <si>
    <t>Order Id = 688</t>
  </si>
  <si>
    <t>Order Id = 689</t>
  </si>
  <si>
    <t>Order Id = 690</t>
  </si>
  <si>
    <t>Order Id = 691</t>
  </si>
  <si>
    <t>Order Id = 692</t>
  </si>
  <si>
    <t>Order Id = 693</t>
  </si>
  <si>
    <t>Order Id = 694</t>
  </si>
  <si>
    <t>Order Id = 695</t>
  </si>
  <si>
    <t>Order Id = 696</t>
  </si>
  <si>
    <t>Order Id = 697</t>
  </si>
  <si>
    <t>Order Id = 698</t>
  </si>
  <si>
    <t>Order Id = 699</t>
  </si>
  <si>
    <t>Order Id = 700</t>
  </si>
  <si>
    <t>Order Id = 701</t>
  </si>
  <si>
    <t>Order Id = 702</t>
  </si>
  <si>
    <t>Order Id = 703</t>
  </si>
  <si>
    <t>Order Id = 704</t>
  </si>
  <si>
    <t>Order Id = 705</t>
  </si>
  <si>
    <t>Order Id = 706</t>
  </si>
  <si>
    <t>Order Id = 707</t>
  </si>
  <si>
    <t>Order Id = 708</t>
  </si>
  <si>
    <t>Order Id = 709</t>
  </si>
  <si>
    <t>Order Id = 710</t>
  </si>
  <si>
    <t>Order Id = 711</t>
  </si>
  <si>
    <t>Order Id = 712</t>
  </si>
  <si>
    <t>Order Id = 713</t>
  </si>
  <si>
    <t>Order Id = 714</t>
  </si>
  <si>
    <t>Order Id = 715</t>
  </si>
  <si>
    <t>Order Id = 716</t>
  </si>
  <si>
    <t>Order Id = 717</t>
  </si>
  <si>
    <t>Order Id = 718</t>
  </si>
  <si>
    <t>Order Id = 719</t>
  </si>
  <si>
    <t>Order Id = 720</t>
  </si>
  <si>
    <t>Order Id = 721</t>
  </si>
  <si>
    <t>Order Id = 722</t>
  </si>
  <si>
    <t>Order Id = 723</t>
  </si>
  <si>
    <t>Order Id = 724</t>
  </si>
  <si>
    <t>Order Id = 725</t>
  </si>
  <si>
    <t>Order Id = 726</t>
  </si>
  <si>
    <t>Order Id = 727</t>
  </si>
  <si>
    <t>Order Id = 728</t>
  </si>
  <si>
    <t>Order Id = 729</t>
  </si>
  <si>
    <t>Order Id = 730</t>
  </si>
  <si>
    <t>Order Id = 731</t>
  </si>
  <si>
    <t>Order Id = 732</t>
  </si>
  <si>
    <t>Order Id = 733</t>
  </si>
  <si>
    <t>Order Id = 734</t>
  </si>
  <si>
    <t>Order Id = 735</t>
  </si>
  <si>
    <t>Order Id = 736</t>
  </si>
  <si>
    <t>Order Id = 737</t>
  </si>
  <si>
    <t>Order Id = 738</t>
  </si>
  <si>
    <t>Order Id = 739</t>
  </si>
  <si>
    <t>Order Id = 740</t>
  </si>
  <si>
    <t>Order Id = 741</t>
  </si>
  <si>
    <t>Order Id = 742</t>
  </si>
  <si>
    <t>Order Id = 743</t>
  </si>
  <si>
    <t>Order Id = 744</t>
  </si>
  <si>
    <t>Order Id = 745</t>
  </si>
  <si>
    <t>Order Id = 746</t>
  </si>
  <si>
    <t>Order Id = 747</t>
  </si>
  <si>
    <t>Order Id = 748</t>
  </si>
  <si>
    <t>Order Id = 749</t>
  </si>
  <si>
    <t>Order Id = 750</t>
  </si>
  <si>
    <t>Order Id = 751</t>
  </si>
  <si>
    <t>Order Id = 752</t>
  </si>
  <si>
    <t>Order Id = 753</t>
  </si>
  <si>
    <t>Order Id = 754</t>
  </si>
  <si>
    <t>Order Id = 755</t>
  </si>
  <si>
    <t>Order Id = 756</t>
  </si>
  <si>
    <t>Order Id = 757</t>
  </si>
  <si>
    <t>Order Id = 758</t>
  </si>
  <si>
    <t>Order Id = 759</t>
  </si>
  <si>
    <t>Order Id = 760</t>
  </si>
  <si>
    <t>Order Id = 761</t>
  </si>
  <si>
    <t>Order Id = 762</t>
  </si>
  <si>
    <t>Order Id = 763</t>
  </si>
  <si>
    <t>Order Id = 764</t>
  </si>
  <si>
    <t>Order Id = 765</t>
  </si>
  <si>
    <t>Order Id = 766</t>
  </si>
  <si>
    <t>Order Id = 767</t>
  </si>
  <si>
    <t>Order Id = 768</t>
  </si>
  <si>
    <t>Order Id = 769</t>
  </si>
  <si>
    <t>Order Id = 770</t>
  </si>
  <si>
    <t>Order Id = 771</t>
  </si>
  <si>
    <t>Order Id = 772</t>
  </si>
  <si>
    <t>Order Id = 773</t>
  </si>
  <si>
    <t>Order Id = 774</t>
  </si>
  <si>
    <t>Order Id = 775</t>
  </si>
  <si>
    <t>Order Id = 776</t>
  </si>
  <si>
    <t>Order Id = 777</t>
  </si>
  <si>
    <t>Order Id = 778</t>
  </si>
  <si>
    <t>Order Id = 779</t>
  </si>
  <si>
    <t>Order Id = 780</t>
  </si>
  <si>
    <t>Order Id = 781</t>
  </si>
  <si>
    <t>Order Id = 782</t>
  </si>
  <si>
    <t>Order Id = 783</t>
  </si>
  <si>
    <t>Order Id = 784</t>
  </si>
  <si>
    <t>Order Id = 785</t>
  </si>
  <si>
    <t>Order Id = 786</t>
  </si>
  <si>
    <t>Order Id = 787</t>
  </si>
  <si>
    <t>Order Id = 788</t>
  </si>
  <si>
    <t>Order Id = 789</t>
  </si>
  <si>
    <t>Order Id = 790</t>
  </si>
  <si>
    <t>Order Id = 791</t>
  </si>
  <si>
    <t>Order Id = 792</t>
  </si>
  <si>
    <t>Order Id = 793</t>
  </si>
  <si>
    <t>Order Id = 794</t>
  </si>
  <si>
    <t>Order Id = 795</t>
  </si>
  <si>
    <t>Order Id = 796</t>
  </si>
  <si>
    <t>Order Id = 797</t>
  </si>
  <si>
    <t>Order Id = 798</t>
  </si>
  <si>
    <t>Order Id = 799</t>
  </si>
  <si>
    <t>Order Id = 800</t>
  </si>
  <si>
    <t>Order Id = 801</t>
  </si>
  <si>
    <t>Order Id = 802</t>
  </si>
  <si>
    <t>Order Id = 803</t>
  </si>
  <si>
    <t>Order Id = 804</t>
  </si>
  <si>
    <t>Order Id = 805</t>
  </si>
  <si>
    <t>Order Id = 806</t>
  </si>
  <si>
    <t>Order Id = 807</t>
  </si>
  <si>
    <t>Order Id = 808</t>
  </si>
  <si>
    <t>Order Id = 809</t>
  </si>
  <si>
    <t>Order Id = 810</t>
  </si>
  <si>
    <t>Order Id = 811</t>
  </si>
  <si>
    <t>Order Id = 812</t>
  </si>
  <si>
    <t>Order Id = 813</t>
  </si>
  <si>
    <t>Order Id = 814</t>
  </si>
  <si>
    <t>Order Id = 815</t>
  </si>
  <si>
    <t>Order Id = 816</t>
  </si>
  <si>
    <t>Order Id = 817</t>
  </si>
  <si>
    <t>Order Id = 818</t>
  </si>
  <si>
    <t>Order Id = 819</t>
  </si>
  <si>
    <t>Order Id = 820</t>
  </si>
  <si>
    <t>Order Id = 821</t>
  </si>
  <si>
    <t>Order Id = 822</t>
  </si>
  <si>
    <t>Order Id = 823</t>
  </si>
  <si>
    <t>Order Id = 824</t>
  </si>
  <si>
    <t>Order Id = 825</t>
  </si>
  <si>
    <t>Order Id = 826</t>
  </si>
  <si>
    <t>Order Id = 827</t>
  </si>
  <si>
    <t>Order Id = 828</t>
  </si>
  <si>
    <t>Order Id = 829</t>
  </si>
  <si>
    <t>Order Id = 830</t>
  </si>
  <si>
    <t>Order Id = 831</t>
  </si>
  <si>
    <t>Order Id = 832</t>
  </si>
  <si>
    <t>Order Id = 833</t>
  </si>
  <si>
    <t>Order Id = 834</t>
  </si>
  <si>
    <t>Order Id = 835</t>
  </si>
  <si>
    <t>Order Id = 836</t>
  </si>
  <si>
    <t>Order Id = 837</t>
  </si>
  <si>
    <t>Order Id = 838</t>
  </si>
  <si>
    <t>Order Id = 839</t>
  </si>
  <si>
    <t>Order Id = 840</t>
  </si>
  <si>
    <t>Order Id = 841</t>
  </si>
  <si>
    <t>Order Id = 842</t>
  </si>
  <si>
    <t>Order Id = 843</t>
  </si>
  <si>
    <t>Order Id = 844</t>
  </si>
  <si>
    <t>Order Id = 845</t>
  </si>
  <si>
    <t>Order Id = 846</t>
  </si>
  <si>
    <t>Order Id = 847</t>
  </si>
  <si>
    <t>Order Id = 848</t>
  </si>
  <si>
    <t>Order Id = 849</t>
  </si>
  <si>
    <t>Order Id = 850</t>
  </si>
  <si>
    <t>Order Id = 851</t>
  </si>
  <si>
    <t>Order Id = 852</t>
  </si>
  <si>
    <t>Order Id = 853</t>
  </si>
  <si>
    <t>Order Id = 854</t>
  </si>
  <si>
    <t>Order Id = 855</t>
  </si>
  <si>
    <t>Order Id = 856</t>
  </si>
  <si>
    <t>Order Id = 857</t>
  </si>
  <si>
    <t>Order Id = 858</t>
  </si>
  <si>
    <t>Order Id = 859</t>
  </si>
  <si>
    <t>Order Id = 860</t>
  </si>
  <si>
    <t>Order Id = 861</t>
  </si>
  <si>
    <t>Order Id = 862</t>
  </si>
  <si>
    <t>Order Id = 863</t>
  </si>
  <si>
    <t>Order Id = 864</t>
  </si>
  <si>
    <t>Order Id = 865</t>
  </si>
  <si>
    <t>Order Id = 866</t>
  </si>
  <si>
    <t>Order Id = 867</t>
  </si>
  <si>
    <t>Order Id = 868</t>
  </si>
  <si>
    <t>Order Id = 869</t>
  </si>
  <si>
    <t>Order Id = 870</t>
  </si>
  <si>
    <t>Order Id = 871</t>
  </si>
  <si>
    <t>Order Id = 872</t>
  </si>
  <si>
    <t>Order Id = 873</t>
  </si>
  <si>
    <t>Order Id = 874</t>
  </si>
  <si>
    <t>Order Id = 875</t>
  </si>
  <si>
    <t>Order Id = 876</t>
  </si>
  <si>
    <t>Order Id = 877</t>
  </si>
  <si>
    <t>Order Id = 878</t>
  </si>
  <si>
    <t>Order Id = 879</t>
  </si>
  <si>
    <t>Order Id = 880</t>
  </si>
  <si>
    <t>Order Id = 881</t>
  </si>
  <si>
    <t>Order Id = 882</t>
  </si>
  <si>
    <t>Order Id = 883</t>
  </si>
  <si>
    <t>Order Id = 884</t>
  </si>
  <si>
    <t>Order Id = 885</t>
  </si>
  <si>
    <t>Order Id = 886</t>
  </si>
  <si>
    <t>Order Id = 887</t>
  </si>
  <si>
    <t>Order Id = 888</t>
  </si>
  <si>
    <t>Order Id = 889</t>
  </si>
  <si>
    <t>Order Id = 890</t>
  </si>
  <si>
    <t>Order Id = 891</t>
  </si>
  <si>
    <t>Order Id = 892</t>
  </si>
  <si>
    <t>Order Id = 893</t>
  </si>
  <si>
    <t>Order Id = 894</t>
  </si>
  <si>
    <t>Order Id = 895</t>
  </si>
  <si>
    <t>Order Id = 896</t>
  </si>
  <si>
    <t>Order Id = 897</t>
  </si>
  <si>
    <t>Order Id = 898</t>
  </si>
  <si>
    <t>Order Id = 899</t>
  </si>
  <si>
    <t>Order Id = 900</t>
  </si>
  <si>
    <t>Order Id = 901</t>
  </si>
  <si>
    <t>Order Id = 902</t>
  </si>
  <si>
    <t>Order Id = 903</t>
  </si>
  <si>
    <t>Order Id = 904</t>
  </si>
  <si>
    <t>Order Id = 905</t>
  </si>
  <si>
    <t>Order Id = 906</t>
  </si>
  <si>
    <t>Order Id = 907</t>
  </si>
  <si>
    <t>Order Id = 908</t>
  </si>
  <si>
    <t>Order Id = 909</t>
  </si>
  <si>
    <t>Order Id = 910</t>
  </si>
  <si>
    <t>Order Id = 911</t>
  </si>
  <si>
    <t>Order Id = 912</t>
  </si>
  <si>
    <t>Order Id = 913</t>
  </si>
  <si>
    <t>Order Id = 914</t>
  </si>
  <si>
    <t>Order Id = 915</t>
  </si>
  <si>
    <t>Order Id = 916</t>
  </si>
  <si>
    <t>Order Id = 917</t>
  </si>
  <si>
    <t>Order Id = 918</t>
  </si>
  <si>
    <t>Order Id = 919</t>
  </si>
  <si>
    <t>Order Id = 920</t>
  </si>
  <si>
    <t>Order Id = 921</t>
  </si>
  <si>
    <t>Order Id = 922</t>
  </si>
  <si>
    <t>Order Id = 923</t>
  </si>
  <si>
    <t>Order Id = 924</t>
  </si>
  <si>
    <t>Order Id = 925</t>
  </si>
  <si>
    <t>Order Id = 926</t>
  </si>
  <si>
    <t>Order Id = 927</t>
  </si>
  <si>
    <t>Order Id = 928</t>
  </si>
  <si>
    <t>Order Id = 929</t>
  </si>
  <si>
    <t>Order Id = 930</t>
  </si>
  <si>
    <t>Order Id = 931</t>
  </si>
  <si>
    <t>Order Id = 932</t>
  </si>
  <si>
    <t>Order Id = 933</t>
  </si>
  <si>
    <t>Order Id = 934</t>
  </si>
  <si>
    <t>Order Id = 935</t>
  </si>
  <si>
    <t>Order Id = 936</t>
  </si>
  <si>
    <t>Order Id = 937</t>
  </si>
  <si>
    <t>Order Id = 938</t>
  </si>
  <si>
    <t>Order Id = 939</t>
  </si>
  <si>
    <t>Order Id = 940</t>
  </si>
  <si>
    <t>Order Id = 941</t>
  </si>
  <si>
    <t>Order Id = 942</t>
  </si>
  <si>
    <t>Order Id = 943</t>
  </si>
  <si>
    <t>Order Id = 944</t>
  </si>
  <si>
    <t>Order Id = 945</t>
  </si>
  <si>
    <t>Order Id = 946</t>
  </si>
  <si>
    <t>Order Id = 947</t>
  </si>
  <si>
    <t>Order Id = 948</t>
  </si>
  <si>
    <t>Order Id = 949</t>
  </si>
  <si>
    <t>Order Id = 950</t>
  </si>
  <si>
    <t>Order Id = 951</t>
  </si>
  <si>
    <t>Order Id = 952</t>
  </si>
  <si>
    <t>Order Id = 953</t>
  </si>
  <si>
    <t>Order Id = 954</t>
  </si>
  <si>
    <t>Order Id = 955</t>
  </si>
  <si>
    <t>Order Id = 956</t>
  </si>
  <si>
    <t>Order Id = 957</t>
  </si>
  <si>
    <t>Order Id = 958</t>
  </si>
  <si>
    <t>Order Id = 959</t>
  </si>
  <si>
    <t>Order Id = 960</t>
  </si>
  <si>
    <t>Order Id = 961</t>
  </si>
  <si>
    <t>Order Id = 962</t>
  </si>
  <si>
    <t>Order Id = 963</t>
  </si>
  <si>
    <t>Order Id = 964</t>
  </si>
  <si>
    <t>Order Id = 965</t>
  </si>
  <si>
    <t>Order Id = 966</t>
  </si>
  <si>
    <t>Order Id = 967</t>
  </si>
  <si>
    <t>Order Id = 968</t>
  </si>
  <si>
    <t>Order Id = 969</t>
  </si>
  <si>
    <t>Order Id = 970</t>
  </si>
  <si>
    <t>Order Id = 971</t>
  </si>
  <si>
    <t>Order Id = 972</t>
  </si>
  <si>
    <t>Order Id = 973</t>
  </si>
  <si>
    <t>Order Id = 974</t>
  </si>
  <si>
    <t>Order Id = 975</t>
  </si>
  <si>
    <t>Order Id = 976</t>
  </si>
  <si>
    <t>Order Id = 977</t>
  </si>
  <si>
    <t>Order Id = 978</t>
  </si>
  <si>
    <t>Order Id = 979</t>
  </si>
  <si>
    <t>Order Id = 980</t>
  </si>
  <si>
    <t>Order Id = 981</t>
  </si>
  <si>
    <t>Order Id = 982</t>
  </si>
  <si>
    <t>Order Id = 983</t>
  </si>
  <si>
    <t>Order Id = 984</t>
  </si>
  <si>
    <t>Order Id = 985</t>
  </si>
  <si>
    <t>Order Id = 986</t>
  </si>
  <si>
    <t>Order Id = 987</t>
  </si>
  <si>
    <t>Order Id = 988</t>
  </si>
  <si>
    <t>Order Id = 989</t>
  </si>
  <si>
    <t>Order Id = 990</t>
  </si>
  <si>
    <t>Order Id = 991</t>
  </si>
  <si>
    <t>Order Id = 992</t>
  </si>
  <si>
    <t>Order Id = 993</t>
  </si>
  <si>
    <t>Order Id = 994</t>
  </si>
  <si>
    <t>Order Id = 995</t>
  </si>
  <si>
    <t>Order Id = 996</t>
  </si>
  <si>
    <t>Order Id = 997</t>
  </si>
  <si>
    <t>Order Id = 998</t>
  </si>
  <si>
    <t>Order Id = 999</t>
  </si>
  <si>
    <t>Order Id = 1000</t>
  </si>
  <si>
    <t>Order Id = 1001</t>
  </si>
  <si>
    <t>Order Id = 1002</t>
  </si>
  <si>
    <t>Order Id = 1003</t>
  </si>
  <si>
    <t>Order Id = 1004</t>
  </si>
  <si>
    <t>Order Id = 1005</t>
  </si>
  <si>
    <t>Order Id = 1006</t>
  </si>
  <si>
    <t>Order Id = 1007</t>
  </si>
  <si>
    <t>Order Id = 1008</t>
  </si>
  <si>
    <t>Order Id = 1009</t>
  </si>
  <si>
    <t>Order Id = 1010</t>
  </si>
  <si>
    <t>Order Id = 1011</t>
  </si>
  <si>
    <t>Order Id = 1012</t>
  </si>
  <si>
    <t>Order Id = 1013</t>
  </si>
  <si>
    <t>Order Id = 1014</t>
  </si>
  <si>
    <t>Order Id = 1016</t>
  </si>
  <si>
    <t>Order Id = 1017</t>
  </si>
  <si>
    <t>Order Id = 1018</t>
  </si>
  <si>
    <t>Order Id = 1019</t>
  </si>
  <si>
    <t>Order Id = 1020</t>
  </si>
  <si>
    <t>Order Id = 1021</t>
  </si>
  <si>
    <t>Order Id = 1022</t>
  </si>
  <si>
    <t>Order Id = 1023</t>
  </si>
  <si>
    <t>Order Id = 1024</t>
  </si>
  <si>
    <t>Order Id = 1025</t>
  </si>
  <si>
    <t>Order Id = 1026</t>
  </si>
  <si>
    <t>Order Id = 1027</t>
  </si>
  <si>
    <t>Order Id = 1028</t>
  </si>
  <si>
    <t>Order Id = 1029</t>
  </si>
  <si>
    <t>Order Id = 1030</t>
  </si>
  <si>
    <t>Order Id = 1031</t>
  </si>
  <si>
    <t>Order Id = 1032</t>
  </si>
  <si>
    <t>Order Id = 1033</t>
  </si>
  <si>
    <t>Order Id = 1034</t>
  </si>
  <si>
    <t>Order Id = 1035</t>
  </si>
  <si>
    <t>Order Id = 1036</t>
  </si>
  <si>
    <t>Order Id = 1037</t>
  </si>
  <si>
    <t>Order Id = 1038</t>
  </si>
  <si>
    <t>Order Id = 1039</t>
  </si>
  <si>
    <t>Order Id = 1040</t>
  </si>
  <si>
    <t>Order Id = 1041</t>
  </si>
  <si>
    <t>Order Id = 1042</t>
  </si>
  <si>
    <t>Order Id = 1043</t>
  </si>
  <si>
    <t>Order Id = 1044</t>
  </si>
  <si>
    <t>Order Id = 1045</t>
  </si>
  <si>
    <t>Order Id = 1046</t>
  </si>
  <si>
    <t>Order Id = 1047</t>
  </si>
  <si>
    <t>Order Id = 1048</t>
  </si>
  <si>
    <t>Order Id = 1049</t>
  </si>
  <si>
    <t>Order Id = 1050</t>
  </si>
  <si>
    <t>Order Id = 1051</t>
  </si>
  <si>
    <t>Order Id = 1052</t>
  </si>
  <si>
    <t>Order Id = 1053</t>
  </si>
  <si>
    <t>Order Id = 1054</t>
  </si>
  <si>
    <t>Order Id = 1055</t>
  </si>
  <si>
    <t>Order Id = 1056</t>
  </si>
  <si>
    <t>Order Id = 1057</t>
  </si>
  <si>
    <t>Order Id = 1058</t>
  </si>
  <si>
    <t>Order Id = 1059</t>
  </si>
  <si>
    <t>Order Id = 1060</t>
  </si>
  <si>
    <t>Order Id = 1061</t>
  </si>
  <si>
    <t>Order Id = 1062</t>
  </si>
  <si>
    <t>Order Id = 1063</t>
  </si>
  <si>
    <t>Order Id = 1064</t>
  </si>
  <si>
    <t>Order Id = 1065</t>
  </si>
  <si>
    <t>Order Id = 1066</t>
  </si>
  <si>
    <t>Order Id = 1067</t>
  </si>
  <si>
    <t>Order Id = 1068</t>
  </si>
  <si>
    <t>Order Id = 1069</t>
  </si>
  <si>
    <t>Order Id = 1070</t>
  </si>
  <si>
    <t>Order Id = 1071</t>
  </si>
  <si>
    <t>Order Id = 1072</t>
  </si>
  <si>
    <t>Order Id = 1073</t>
  </si>
  <si>
    <t>Order Id = 1074</t>
  </si>
  <si>
    <t>Order Id = 1075</t>
  </si>
  <si>
    <t>Order Id = 1076</t>
  </si>
  <si>
    <t>Order Id = 1077</t>
  </si>
  <si>
    <t>Order Id = 1078</t>
  </si>
  <si>
    <t>Order Id = 1079</t>
  </si>
  <si>
    <t>Order Id = 1080</t>
  </si>
  <si>
    <t>Order Id = 1081</t>
  </si>
  <si>
    <t>Order Id = 1082</t>
  </si>
  <si>
    <t>Order Id = 1083</t>
  </si>
  <si>
    <t>Order Id = 1084</t>
  </si>
  <si>
    <t>Order Id = 1085</t>
  </si>
  <si>
    <t>Order Id = 1086</t>
  </si>
  <si>
    <t>Order Id = 1087</t>
  </si>
  <si>
    <t>Order Id = 1088</t>
  </si>
  <si>
    <t>Order Id = 1089</t>
  </si>
  <si>
    <t>Order Id = 1090</t>
  </si>
  <si>
    <t>Order Id = 1091</t>
  </si>
  <si>
    <t>Order Id = 1092</t>
  </si>
  <si>
    <t>Order Id = 1093</t>
  </si>
  <si>
    <t>Order Id = 1094</t>
  </si>
  <si>
    <t>Order Id = 1095</t>
  </si>
  <si>
    <t>Order Id = 1096</t>
  </si>
  <si>
    <t>Order Id = 1097</t>
  </si>
  <si>
    <t>Order Id = 1098</t>
  </si>
  <si>
    <t>Order Id = 1099</t>
  </si>
  <si>
    <t>Order Id = 1100</t>
  </si>
  <si>
    <t>Order Id = 1101</t>
  </si>
  <si>
    <t>Order Id = 1102</t>
  </si>
  <si>
    <t>Order Id = 1103</t>
  </si>
  <si>
    <t>Order Id = 1104</t>
  </si>
  <si>
    <t>Order Id = 1105</t>
  </si>
  <si>
    <t>Order Id = 1106</t>
  </si>
  <si>
    <t>Order Id = 1107</t>
  </si>
  <si>
    <t>Order Id = 1108</t>
  </si>
  <si>
    <t>Order Id = 1109</t>
  </si>
  <si>
    <t>Order Id = 1110</t>
  </si>
  <si>
    <t>Order Id = 1111</t>
  </si>
  <si>
    <t>Order Id = 1112</t>
  </si>
  <si>
    <t>Order Id = 1113</t>
  </si>
  <si>
    <t>Order Id = 1114</t>
  </si>
  <si>
    <t>Order Id = 1115</t>
  </si>
  <si>
    <t>Order Id = 1116</t>
  </si>
  <si>
    <t>Order Id = 1117</t>
  </si>
  <si>
    <t>Order Id = 1118</t>
  </si>
  <si>
    <t>Order Id = 1119</t>
  </si>
  <si>
    <t>Order Id = 1120</t>
  </si>
  <si>
    <t>Order Id = 1121</t>
  </si>
  <si>
    <t>Order Id = 1122</t>
  </si>
  <si>
    <t>Order Id = 1123</t>
  </si>
  <si>
    <t>Order Id = 1124</t>
  </si>
  <si>
    <t>Order Id = 1125</t>
  </si>
  <si>
    <t>Order Id = 1126</t>
  </si>
  <si>
    <t>Order Id = 1127</t>
  </si>
  <si>
    <t>Order Id = 1128</t>
  </si>
  <si>
    <t>Order Id = 1129</t>
  </si>
  <si>
    <t>Order Id = 1130</t>
  </si>
  <si>
    <t>Order Id = 1131</t>
  </si>
  <si>
    <t>Order Id = 1132</t>
  </si>
  <si>
    <t>Order Id = 1133</t>
  </si>
  <si>
    <t>Order Id = 1134</t>
  </si>
  <si>
    <t>Order Id = 1135</t>
  </si>
  <si>
    <t>Order Id = 1136</t>
  </si>
  <si>
    <t>Order Id = 1137</t>
  </si>
  <si>
    <t>Order Id = 1138</t>
  </si>
  <si>
    <t>Order Id = 1139</t>
  </si>
  <si>
    <t>Order Id = 1140</t>
  </si>
  <si>
    <t>Order Id = 1141</t>
  </si>
  <si>
    <t>Order Id = 1142</t>
  </si>
  <si>
    <t>Order Id = 1143</t>
  </si>
  <si>
    <t>Order Id = 1144</t>
  </si>
  <si>
    <t>Order Id = 1145</t>
  </si>
  <si>
    <t>Order Id = 1146</t>
  </si>
  <si>
    <t>Order Id = 1147</t>
  </si>
  <si>
    <t>Order Id = 1148</t>
  </si>
  <si>
    <t>Order Id = 1149</t>
  </si>
  <si>
    <t>Order Id = 1150</t>
  </si>
  <si>
    <t>Order Id = 1151</t>
  </si>
  <si>
    <t>Order Id = 1152</t>
  </si>
  <si>
    <t>Order Id = 1153</t>
  </si>
  <si>
    <t>Order Id = 1154</t>
  </si>
  <si>
    <t>Order Id = 1155</t>
  </si>
  <si>
    <t>Order Id = 1156</t>
  </si>
  <si>
    <t>Order Id = 1157</t>
  </si>
  <si>
    <t>Order Id = 1158</t>
  </si>
  <si>
    <t>Order Id = 1159</t>
  </si>
  <si>
    <t>Order Id = 1160</t>
  </si>
  <si>
    <t>Order Id = 1161</t>
  </si>
  <si>
    <t>Order Id = 1162</t>
  </si>
  <si>
    <t>Order Id = 1163</t>
  </si>
  <si>
    <t>Order Id = 1164</t>
  </si>
  <si>
    <t>Order Id = 1165</t>
  </si>
  <si>
    <t>Order Id = 1166</t>
  </si>
  <si>
    <t>Order Id = 1167</t>
  </si>
  <si>
    <t>Order Id = 1168</t>
  </si>
  <si>
    <t>Order Id = 1169</t>
  </si>
  <si>
    <t>Order Id = 1170</t>
  </si>
  <si>
    <t>Order Id = 1171</t>
  </si>
  <si>
    <t>Order Id = 1172</t>
  </si>
  <si>
    <t>Order Id = 1173</t>
  </si>
  <si>
    <t>Order Id = 1174</t>
  </si>
  <si>
    <t>Order Id = 1175</t>
  </si>
  <si>
    <t>Order Id = 1176</t>
  </si>
  <si>
    <t>Order Id = 1178</t>
  </si>
  <si>
    <t>Order Id = 1179</t>
  </si>
  <si>
    <t>Order Id = 1180</t>
  </si>
  <si>
    <t>Order Id = 1181</t>
  </si>
  <si>
    <t>Order Id = 1182</t>
  </si>
  <si>
    <t>Order Id = 1183</t>
  </si>
  <si>
    <t>Order Id = 1184</t>
  </si>
  <si>
    <t>Order Id = 1185</t>
  </si>
  <si>
    <t>Order Id = 1186</t>
  </si>
  <si>
    <t>Order Id = 1187</t>
  </si>
  <si>
    <t>Order Id = 1188</t>
  </si>
  <si>
    <t>Order Id = 1189</t>
  </si>
  <si>
    <t>Order Id = 1190</t>
  </si>
  <si>
    <t>Order Id = 1191</t>
  </si>
  <si>
    <t>Order Id = 1192</t>
  </si>
  <si>
    <t>Order Id = 1193</t>
  </si>
  <si>
    <t>Order Id = 1194</t>
  </si>
  <si>
    <t>Order Id = 1195</t>
  </si>
  <si>
    <t>Order Id = 1196</t>
  </si>
  <si>
    <t>Order Id = 1197</t>
  </si>
  <si>
    <t>Order Id = 1198</t>
  </si>
  <si>
    <t>Order Id = 1199</t>
  </si>
  <si>
    <t>Order Id = 1200</t>
  </si>
  <si>
    <t>Order Id = 1201</t>
  </si>
  <si>
    <t>Order Id = 1202</t>
  </si>
  <si>
    <t>Order Id = 1203</t>
  </si>
  <si>
    <t>Order Id = 1204</t>
  </si>
  <si>
    <t>Order Id = 1205</t>
  </si>
  <si>
    <t>Order Id = 1206</t>
  </si>
  <si>
    <t>Order Id = 1207</t>
  </si>
  <si>
    <t>Order Id = 1208</t>
  </si>
  <si>
    <t>Order Id = 1209</t>
  </si>
  <si>
    <t>Order Id = 1210</t>
  </si>
  <si>
    <t>Order Id = 1211</t>
  </si>
  <si>
    <t>Order Id = 1212</t>
  </si>
  <si>
    <t>Order Id = 1213</t>
  </si>
  <si>
    <t>Order Id = 1214</t>
  </si>
  <si>
    <t>Order Id = 1215</t>
  </si>
  <si>
    <t>Order Id = 1216</t>
  </si>
  <si>
    <t>Order Id = 1217</t>
  </si>
  <si>
    <t>Order Id = 1218</t>
  </si>
  <si>
    <t>Order Id = 1219</t>
  </si>
  <si>
    <t>Order Id = 1220</t>
  </si>
  <si>
    <t>Order Id = 1221</t>
  </si>
  <si>
    <t>Order Id = 1222</t>
  </si>
  <si>
    <t>Order Id = 1223</t>
  </si>
  <si>
    <t>Order Id = 1224</t>
  </si>
  <si>
    <t>Order Id = 1225</t>
  </si>
  <si>
    <t>Order Id = 1226</t>
  </si>
  <si>
    <t>Order Id = 1227</t>
  </si>
  <si>
    <t>Order Id = 1228</t>
  </si>
  <si>
    <t>Order Id = 1229</t>
  </si>
  <si>
    <t>Order Id = 1230</t>
  </si>
  <si>
    <t>Order Id = 1231</t>
  </si>
  <si>
    <t>Order Id = 1232</t>
  </si>
  <si>
    <t>Order Id = 1233</t>
  </si>
  <si>
    <t>Order Id = 1234</t>
  </si>
  <si>
    <t>Order Id = 1235</t>
  </si>
  <si>
    <t>Order Id = 1236</t>
  </si>
  <si>
    <t>Order Id = 1237</t>
  </si>
  <si>
    <t>Order Id = 1238</t>
  </si>
  <si>
    <t>Order Id = 1239</t>
  </si>
  <si>
    <t>Order Id = 1240</t>
  </si>
  <si>
    <t>Order Id = 1241</t>
  </si>
  <si>
    <t>Order Id = 1242</t>
  </si>
  <si>
    <t>Order Id = 1243</t>
  </si>
  <si>
    <t>Order Id = 1244</t>
  </si>
  <si>
    <t>Order Id = 1245</t>
  </si>
  <si>
    <t>Order Id = 1246</t>
  </si>
  <si>
    <t>Order Id = 1247</t>
  </si>
  <si>
    <t>Order Id = 1248</t>
  </si>
  <si>
    <t>Order Id = 1249</t>
  </si>
  <si>
    <t>Order Id = 1250</t>
  </si>
  <si>
    <t>Order Id = 1251</t>
  </si>
  <si>
    <t>Order Id = 1252</t>
  </si>
  <si>
    <t>Order Id = 1253</t>
  </si>
  <si>
    <t>Order Id = 1254</t>
  </si>
  <si>
    <t>Order Id = 1255</t>
  </si>
  <si>
    <t>Order Id = 1256</t>
  </si>
  <si>
    <t>Order Id = 1257</t>
  </si>
  <si>
    <t>Order Id = 1258</t>
  </si>
  <si>
    <t>Order Id = 1259</t>
  </si>
  <si>
    <t>Order Id = 1260</t>
  </si>
  <si>
    <t>Order Id = 1261</t>
  </si>
  <si>
    <t>Order Id = 1262</t>
  </si>
  <si>
    <t>Order Id = 1263</t>
  </si>
  <si>
    <t>Order Id = 1264</t>
  </si>
  <si>
    <t>Order Id = 1265</t>
  </si>
  <si>
    <t>Order Id = 1266</t>
  </si>
  <si>
    <t>Order Id = 1267</t>
  </si>
  <si>
    <t>Order Id = 1268</t>
  </si>
  <si>
    <t>Order Id = 1269</t>
  </si>
  <si>
    <t>Order Id = 1270</t>
  </si>
  <si>
    <t>Order Id = 1271</t>
  </si>
  <si>
    <t>Order Id = 1272</t>
  </si>
  <si>
    <t>Order Id = 1273</t>
  </si>
  <si>
    <t>Order Id = 1274</t>
  </si>
  <si>
    <t>Order Id = 1275</t>
  </si>
  <si>
    <t>Order Id = 1276</t>
  </si>
  <si>
    <t>Order Id = 1277</t>
  </si>
  <si>
    <t>Order Id = 1278</t>
  </si>
  <si>
    <t>Order Id = 1279</t>
  </si>
  <si>
    <t>Order Id = 1280</t>
  </si>
  <si>
    <t>Order Id = 1281</t>
  </si>
  <si>
    <t>Order Id = 1282</t>
  </si>
  <si>
    <t>Order Id = 1283</t>
  </si>
  <si>
    <t>Order Id = 1284</t>
  </si>
  <si>
    <t>Order Id = 1285</t>
  </si>
  <si>
    <t>Order Id = 1286</t>
  </si>
  <si>
    <t>Order Id = 1287</t>
  </si>
  <si>
    <t>Order Id = 1288</t>
  </si>
  <si>
    <t>Order Id = 1289</t>
  </si>
  <si>
    <t>Order Id = 1290</t>
  </si>
  <si>
    <t>Order Id = 1291</t>
  </si>
  <si>
    <t>Order Id = 1292</t>
  </si>
  <si>
    <t>Order Id = 1293</t>
  </si>
  <si>
    <t>Order Id = 1294</t>
  </si>
  <si>
    <t>Order Id = 1295</t>
  </si>
  <si>
    <t>Order Id = 1296</t>
  </si>
  <si>
    <t>Order Id = 1297</t>
  </si>
  <si>
    <t>Order Id = 1298</t>
  </si>
  <si>
    <t>Order Id = 1299</t>
  </si>
  <si>
    <t>Order Id = 1300</t>
  </si>
  <si>
    <t>Order Id = 1301</t>
  </si>
  <si>
    <t>Order Id = 1303</t>
  </si>
  <si>
    <t>Row Labels</t>
  </si>
  <si>
    <t>Grand Total</t>
  </si>
  <si>
    <t>Sum of Total Sales</t>
  </si>
  <si>
    <t>Sum of Total Commision</t>
  </si>
  <si>
    <t>Count of Order IDs</t>
  </si>
  <si>
    <t>Sum of Quantity</t>
  </si>
  <si>
    <t>1 - Total Orders</t>
  </si>
  <si>
    <t>2 - Total Sales</t>
  </si>
  <si>
    <t>3 - Total Commision</t>
  </si>
  <si>
    <t>4 - Net Sales</t>
  </si>
  <si>
    <t>Total Quantity Sold per product</t>
  </si>
  <si>
    <t>Total Sales by Sales Representative</t>
  </si>
  <si>
    <t>Total Commison by Sales Representative</t>
  </si>
  <si>
    <t>Total Order By Day</t>
  </si>
  <si>
    <t>Total Order By State</t>
  </si>
  <si>
    <t>Pase Using Link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</si>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</sst>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0" xfId="0" applyFill="1" applyBorder="1"/>
  </cellXfs>
  <cellStyles count="1">
    <cellStyle name="Normal" xfId="0" builtinId="0"/>
  </cellStyles>
  <dxfs count="7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₹&quot;\ #,##0.0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65" formatCode="&quot;₹&quot;\ #,##0.0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₹&quot;\ #,##0.0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65" formatCode="&quot;₹&quot;\ #,##0.00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165" formatCode="&quot;₹&quot;\ 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 1.xlsx]Charts!PivotTable5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cap="all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accent4">
                    <a:lumMod val="20000"/>
                    <a:lumOff val="80000"/>
                  </a:schemeClr>
                </a:solidFill>
              </a:rPr>
              <a:t>total</a:t>
            </a:r>
            <a:r>
              <a:rPr lang="en-US" sz="1400" b="1" i="1" u="sng" baseline="0">
                <a:solidFill>
                  <a:schemeClr val="accent4">
                    <a:lumMod val="20000"/>
                    <a:lumOff val="80000"/>
                  </a:schemeClr>
                </a:solidFill>
              </a:rPr>
              <a:t> PRODUCT SOLD</a:t>
            </a:r>
            <a:endParaRPr lang="en-US" sz="1400" b="1" i="1" u="sng">
              <a:solidFill>
                <a:schemeClr val="accent4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cap="all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069211093836201"/>
              <c:y val="3.33297005694357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9039946837855458E-2"/>
              <c:y val="7.310029152930277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3477481318019959E-2"/>
              <c:y val="-9.26016946843582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4140127388535034E-2"/>
              <c:y val="0.110726643598615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Charts!$D$4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6D-4ADD-8F85-669EBAE9B1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6D-4ADD-8F85-669EBAE9B1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6D-4ADD-8F85-669EBAE9B1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6D-4ADD-8F85-669EBAE9B1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6D-4ADD-8F85-669EBAE9B1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86D-4ADD-8F85-669EBAE9B112}"/>
              </c:ext>
            </c:extLst>
          </c:dPt>
          <c:dLbls>
            <c:dLbl>
              <c:idx val="0"/>
              <c:layout>
                <c:manualLayout>
                  <c:x val="-0.11069211093836201"/>
                  <c:y val="3.33297005694357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6D-4ADD-8F85-669EBAE9B112}"/>
                </c:ext>
              </c:extLst>
            </c:dLbl>
            <c:dLbl>
              <c:idx val="1"/>
              <c:layout>
                <c:manualLayout>
                  <c:x val="-3.9039946837855458E-2"/>
                  <c:y val="7.310029152930277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6D-4ADD-8F85-669EBAE9B112}"/>
                </c:ext>
              </c:extLst>
            </c:dLbl>
            <c:dLbl>
              <c:idx val="2"/>
              <c:layout>
                <c:manualLayout>
                  <c:x val="-9.3477481318019959E-2"/>
                  <c:y val="-9.260169468435822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6D-4ADD-8F85-669EBAE9B112}"/>
                </c:ext>
              </c:extLst>
            </c:dLbl>
            <c:dLbl>
              <c:idx val="4"/>
              <c:layout>
                <c:manualLayout>
                  <c:x val="5.4140127388535034E-2"/>
                  <c:y val="0.1107266435986159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6D-4ADD-8F85-669EBAE9B11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86D-4ADD-8F85-669EBAE9B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Charts!$C$5:$C$10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Charts!$D$5:$D$10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3823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86D-4ADD-8F85-669EBAE9B112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econdPieSize val="12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 1.xlsx]Charts!PivotTable6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layout>
        <c:manualLayout>
          <c:xMode val="edge"/>
          <c:yMode val="edge"/>
          <c:x val="0.32819097612798398"/>
          <c:y val="6.8261033791440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Charts!$D$14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Charts!$C$15:$C$20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Charts!$D$15:$D$20</c:f>
              <c:numCache>
                <c:formatCode>General</c:formatCode>
                <c:ptCount val="5"/>
                <c:pt idx="0">
                  <c:v>306530</c:v>
                </c:pt>
                <c:pt idx="1">
                  <c:v>320220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1-4586-A242-60BDCBFC0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258096"/>
        <c:axId val="54705568"/>
      </c:lineChart>
      <c:catAx>
        <c:axId val="2242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5568"/>
        <c:crossesAt val="295000"/>
        <c:auto val="1"/>
        <c:lblAlgn val="ctr"/>
        <c:lblOffset val="100"/>
        <c:noMultiLvlLbl val="0"/>
      </c:catAx>
      <c:valAx>
        <c:axId val="547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5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 1.xlsx]Charts!PivotTable7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400" i="1" u="sng">
                <a:solidFill>
                  <a:schemeClr val="bg1"/>
                </a:solidFill>
              </a:rPr>
              <a:t>Total cOMMISION</a:t>
            </a:r>
          </a:p>
        </c:rich>
      </c:tx>
      <c:layout>
        <c:manualLayout>
          <c:xMode val="edge"/>
          <c:yMode val="edge"/>
          <c:x val="0.33726992917094156"/>
          <c:y val="7.73556781338161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672258000716944"/>
          <c:y val="3.9162350695467876E-2"/>
          <c:w val="0.84731208049543261"/>
          <c:h val="0.75975690204499835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Charts!$D$24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Charts!$C$25:$C$30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Charts!$D$25:$D$30</c:f>
              <c:numCache>
                <c:formatCode>General</c:formatCode>
                <c:ptCount val="5"/>
                <c:pt idx="0">
                  <c:v>23569</c:v>
                </c:pt>
                <c:pt idx="1">
                  <c:v>17876</c:v>
                </c:pt>
                <c:pt idx="2">
                  <c:v>17624</c:v>
                </c:pt>
                <c:pt idx="3">
                  <c:v>21016</c:v>
                </c:pt>
                <c:pt idx="4">
                  <c:v>20076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F-4C4B-A44A-FF2CE0379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1388496"/>
        <c:axId val="1741857056"/>
        <c:axId val="0"/>
      </c:bar3DChart>
      <c:catAx>
        <c:axId val="19138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857056"/>
        <c:crosses val="autoZero"/>
        <c:auto val="1"/>
        <c:lblAlgn val="ctr"/>
        <c:lblOffset val="100"/>
        <c:noMultiLvlLbl val="0"/>
      </c:catAx>
      <c:valAx>
        <c:axId val="17418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8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rnd" cmpd="sng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tx1">
            <a:lumMod val="65000"/>
            <a:lumOff val="35000"/>
          </a:schemeClr>
        </a:solidFill>
        <a:ln w="25400">
          <a:noFill/>
        </a:ln>
        <a:effectLst>
          <a:glow rad="114300">
            <a:schemeClr val="accent1">
              <a:alpha val="40000"/>
            </a:schemeClr>
          </a:glow>
          <a:outerShdw blurRad="50800" dist="50800" dir="5400000" algn="ctr" rotWithShape="0">
            <a:schemeClr val="bg1"/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 board 1.xlsx]Charts!PivotTable9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 i="1" u="sng"/>
              <a:t>TOTAL ORDER</a:t>
            </a:r>
            <a:r>
              <a:rPr lang="en-IN" b="1" i="1" u="sng" baseline="0"/>
              <a:t> BY DATE</a:t>
            </a:r>
            <a:endParaRPr lang="en-IN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Charts!$D$49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Charts!$C$50:$C$81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Charts!$D$50:$D$81</c:f>
              <c:numCache>
                <c:formatCode>General</c:formatCode>
                <c:ptCount val="31"/>
                <c:pt idx="0">
                  <c:v>39</c:v>
                </c:pt>
                <c:pt idx="1">
                  <c:v>33</c:v>
                </c:pt>
                <c:pt idx="2">
                  <c:v>36</c:v>
                </c:pt>
                <c:pt idx="3">
                  <c:v>35</c:v>
                </c:pt>
                <c:pt idx="4">
                  <c:v>42</c:v>
                </c:pt>
                <c:pt idx="5">
                  <c:v>47</c:v>
                </c:pt>
                <c:pt idx="6">
                  <c:v>53</c:v>
                </c:pt>
                <c:pt idx="7">
                  <c:v>50</c:v>
                </c:pt>
                <c:pt idx="8">
                  <c:v>38</c:v>
                </c:pt>
                <c:pt idx="9">
                  <c:v>50</c:v>
                </c:pt>
                <c:pt idx="10">
                  <c:v>43</c:v>
                </c:pt>
                <c:pt idx="11">
                  <c:v>30</c:v>
                </c:pt>
                <c:pt idx="12">
                  <c:v>48</c:v>
                </c:pt>
                <c:pt idx="13">
                  <c:v>46</c:v>
                </c:pt>
                <c:pt idx="14">
                  <c:v>45</c:v>
                </c:pt>
                <c:pt idx="15">
                  <c:v>48</c:v>
                </c:pt>
                <c:pt idx="16">
                  <c:v>48</c:v>
                </c:pt>
                <c:pt idx="17">
                  <c:v>41</c:v>
                </c:pt>
                <c:pt idx="18">
                  <c:v>44</c:v>
                </c:pt>
                <c:pt idx="19">
                  <c:v>34</c:v>
                </c:pt>
                <c:pt idx="20">
                  <c:v>47</c:v>
                </c:pt>
                <c:pt idx="21">
                  <c:v>38</c:v>
                </c:pt>
                <c:pt idx="22">
                  <c:v>39</c:v>
                </c:pt>
                <c:pt idx="23">
                  <c:v>46</c:v>
                </c:pt>
                <c:pt idx="24">
                  <c:v>49</c:v>
                </c:pt>
                <c:pt idx="25">
                  <c:v>47</c:v>
                </c:pt>
                <c:pt idx="26">
                  <c:v>52</c:v>
                </c:pt>
                <c:pt idx="27">
                  <c:v>37</c:v>
                </c:pt>
                <c:pt idx="28">
                  <c:v>42</c:v>
                </c:pt>
                <c:pt idx="29">
                  <c:v>28</c:v>
                </c:pt>
                <c:pt idx="3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8-4243-A1E0-DCA1DD5B5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167680"/>
        <c:axId val="509008720"/>
      </c:lineChart>
      <c:catAx>
        <c:axId val="1753167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08720"/>
        <c:crosses val="autoZero"/>
        <c:auto val="1"/>
        <c:lblAlgn val="ctr"/>
        <c:lblOffset val="100"/>
        <c:noMultiLvlLbl val="0"/>
      </c:catAx>
      <c:valAx>
        <c:axId val="509008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6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ln>
              <a:noFill/>
            </a:ln>
            <a:effectLst>
              <a:glow rad="88900">
                <a:schemeClr val="accent1">
                  <a:alpha val="40000"/>
                </a:schemeClr>
              </a:glow>
              <a:outerShdw blurRad="50800" dist="50800" dir="2400000" algn="ctr" rotWithShape="0">
                <a:srgbClr val="000000">
                  <a:alpha val="43137"/>
                </a:srgbClr>
              </a:outerShdw>
            </a:effectLst>
          </cx:spPr>
        </cx:plotSurface>
        <cx:series layoutId="regionMap" uniqueId="{578ED588-19D3-4C30-A9ED-E9DD83FD838E}"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</a:defRPr>
                </a:pPr>
                <a:endParaRPr lang="en-US" sz="850" b="0" i="0" u="none" strike="noStrike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1Hxrc9y20uZfSfnz0sEd4KmTU7UgRzO6y7Jsx/7CUiQZBMELSPD+67cV24k1R7bzzmarNi5XxRoO
gUY3nu6nL8q/7+Z/3ZUPt91Pc1XW4V938y8v8r73//r553CXP1S34WVl77omNB/7l3dN9XPz8aO9
e/j5vrudbG1+Jgizn+/y265/mF/859+wmnlozpq729429avhoVuuH8JQ9uE7z5599NPtfWXr1Ia+
s3c9/uXF6UN3W96++Omh7m2/3Cz+4ZcXT77z4qef91f6r11/KkGwfriHdzF6yVispJTsxU9lU5vP
n0vxkiFFBMMC/f6HfNnz4raC934sx+9S3N7fdw8hwDF+/++f7z2RGT4+e/HTXTPU/aOmDCjtlxfH
9b2Fg9rQJJ8eJM2jwMcXv5/w56c6/s+/9z6AM+998pUZ9hX0o0f/ZQVtwdZfFPJ/bwTCXwoZK445
/aRs/MQWCh6jWAgW7xnhh2I8b4PPr+2ZQF//o0xwetvVt/2t+zuxwF5KjBhhjDxnBoAEBjOBkWj8
+x/65QZ8hsRfkeh5i3x1mD2rnP7vf5RVdrfdclv/jTYh8UscKxwz/gQSYAvKEGGIqU+mEk9t8Rfk
eN4Sf7y4Z4fdPwsd6UOZ2y8q+RsclHopGFx7JD5Hg6cOSsqXGHMmwYN9QsaeNX4ozfO2+PzaniXS
f1ao2DZ/Ixowf0kFJTQm6pOi46eoYC8RJyIWhHx6DKD5RBQ+eagfyPK8FX5/ac8G23+WV9oOxW13
239Rxt+AB/JSxERg+Y1IgV/yWCIBoHgWD39Bnm/Y4stB9u1x8o+KEue3QJ9uQ953fyc24peME6Qo
j78VvZGKKWGfkbOHjb8o0/N2efLynm3Od/8o25yAaVx+W9//jWihLwUXmMTqM3FST7wW0FsOeQYl
4rNTg0zka6/1lyR63i5fvbpnlZN/llXOH0wOed/yN+IFkg5OOehdfrbK01gS45dESqHAjf0Rar62
yl+S6HmrfPXqnlXO/1mx/U3fQ8ngqru9fwj5l0v7N0QX8TImFBCDPzkyhJ/iBQFeBOXkC5z28pC/
LNXz1tl7fc9Cb67+Ud7s3UPof9IPtbkt/0b70JcKgMORlE8NI1/GEugX+wKovRDzF4V53ixPXt4z
yjv9/7VRni/sfHImn9Dy5Bv/wwoWIS8BCxwDG3s27sePlFkwyZ7nYp/LTN+W5nlzfH7tieD/j2tW
365n/VHgS6Eisvm9MvhVSev7T38/HlQr9179XoHxk66O7395wTCUCL+y1+MiT2L3E2L0X+893Ib+
lxcKvYwRAdImYg7ZvFTg7ibA7S8vJNBs/ugFMVcixgzBXnXT9fkvL8Dqj+m/UOoxHZJMwEuhGR4f
QZIkMAdrQ6ZEBMWK/VGSvWrKxTT1Hxr5/PNP9VBdNbbuw2NBlEOVzX/64uMZYW2mGJOYUqoEFHol
SOHvbq+h8Pv4/f9FhkXNPYnmzdJ7Mu6E5TadxyB6vebso3F9PCR9JWOazvG4dlqZsa01NgifxpGM
7EbJQmlXB978Wi3ATy/GAT1+ow7kjrYCo9Su9FjODFW6k9mMdSlNl+ssKkr/infWvosYt+Y1WtjU
vGpJXYbUFrZ3ScPqadRdLTKSsnLqurTIfax0vwrntBhDZnVckWrSMamaSS80czJpeG2u6t7gj7ho
2KaYBYmT1g3xceva6Jq4PCIXg1vHKsX5xLjXFrfucur8dIbasho1L1GAA3TTSd8jrtKON2N2kVWL
tLpWFrlr5civxbgueDtFaB50K4ktkikTi55tbju9zh0rzthIcUhqFfIqIW42XdqMgRVJa4r8hqmo
Ekcd3AiULqSTazKNhS0uA9RRN8bO5I1oAz2LEF3M0RrUWO4iZSZ30s1+yLUwQTRaSIa8XkJcBj0X
ir0iPXZL4hEbdMR5nvaFMnryhlzKMjRnuFP5qxkb/z7g6I53/VroMLtmSF1c8Y2Ip9DrZhBKx6y0
72A1cWRG011lPFLNMS/9VOq1Lld1JJBh124RqzmvTTZliSgHFus5CjQc18sazUdTI5pCZwLx9Zz1
sotOjMReJGhaWbTreFy869Q6DdvBm2w8z7p5iRNubSCpmgi/qucZT4lVWajPFOobp8e47GvdjB7v
eB+zKgmLdfExYi73p26urNNK0GHc8Hqqd2RWfZ9i2pBmY1YC/+5Huiw60NxmR4tzY3mMliYsm7yK
Cd7k0guimfHzTcjzqNwVM2W/eZG1b6q8QYkwXXffhAzPJ3DrWKFRlS3dZuz6fk45bmKdd2g4NmXo
jW5XuXYJitRY6Uhl4qQoEP3Nx3iYdzkeVLXJZxPGtI0JWGzpTHNCp96P2vrOnUHPJH/VWXklayfe
hDDMddJnbXRsBpyfqGmSSAdc+XeqLvB1NOThwxov4jTmbjc2pG+1g63J66wbea6b0vbkxnZGCo2R
a9pkQH55bWu63ld5tZ6PHHVTUg5Nji+7wchWz40j04bUqx93KzLVeVzEXb+bWePaFBVj9b6P1vYy
LiRq0y72i08zFLsmiThlN+2Se6YRqUSrVaRov3Gu5mesr3OeerNYqYslMvh0oOATdDAVO+88Hlg6
5c1SalpU9kMfN2TeyIXBbccmWhPsF6LSps0jDbXT7G20ltl2laNLqrmp70sfDbrscntkMja/i0eA
XRsKJbe47ar3S2kANz4O/aVpeJcwVjWnNSrHm2BEketyKcEXlPF8YhmjV13M506zmBa7YWyqTW1x
WekCjaTatahlb3DlwmlYJvOBO5LHm7Xvy+yVm62ctKT5mG3jpZ2OBmLy32YftYsuckVGvSI8wPUo
2xsrED2eV8msZmXdRDoXE9Usk6K89zzvTmi3xjTJZrW+HbCp79qxGeOjsaSz2eYQcXxaOWkSWU7j
ho1musjbJjrOGKGFHk1TTq/9ZLMuyfkyszQv6zEkXVy1+ESQzJ+MwpfDdl4oJjqsyBepo0y4ZM3g
riYcteHdWCzysh5Jk8TSRh+wyWT9RhUhQuk0A1B07GKUZlHDeQocRqi7KlqoLsHpb3k3wfXM3602
Qr/1Q4k3ijTFhlnXHcVD3qZ5UCICF17RtMEWtmTGtjvBAgeMxlApTJkz/Um7LHF908wDZQlmft2M
rM2uqyVCN2ZxoFFBJjluao7ttClZUbxCQyaZHhAZc60kZ9EpW0lxK8asGXfGosGdM5qtiTLgcpIC
02rjiUVCr0M3XGXWmRuswM2lo5lxD/7Cxk2KeQs3MeZ1VOjJxNObeFnbFfwVtpkOoHm7WT0Tr8q5
jUhSLnXVJnaovU/FMoIghOf+2rYkggCwyiZPcm9Fm+QRMIhjqwgrQRVWbGrwZnGCpZ1PXW/RDi7z
Gh0PNTbH89x4m4zAD8KORLbLjvqWx7u6LOy9mOP2XT10zato7G2l59aud45FZacbCSQT4sOgmhS2
6KtkHIr1GNfMuV3gZTxoa5d2SSqxEqaVelRCTQaNJlcVV8GtCxCEjtJb1a4Q6FRd+5ulUeG8QX5i
qXCzC5o5cK3xAJmdHqWpLmbR2Guq8vHttDTxiVtMTI9QFK3XRYXUpI0awnju4nW5GVekunQqHIQj
47rW72YxqAc5sWVXUYMvsinnjW6iqSl1s7qp1fVk1iZVo1Qa2znPLtlSzMuODYWPrxYlxlFHk8zP
I9rF7wVf+KuCRKctLeysZV9dD1VsT3Gx9nma1dhuKTi5NDNjtCtsibQa5t8KX46J9eAzCQqOfuBd
pcrEkFW96+1APwY/Zjpnc3ProhXnSdOO7hjNk9PgY4xG1hSvF1YMSTkNhUmXriqScSb2OmpreYJb
ich2pLXQlRF5WpZFpz02xiZttuR6WE1catbmJJEtd3qW2XoStWvWaWSIuGZlVLkPOe7NmRjdlIgm
X3dzhYYYfJzNde4nipMShN4WppmUVpj02z4302mUT4YlSEz9ppZ2kRtcWHkxtlF3N5bM3LNJ5O/z
sNxEGAKrJoVhNpFj1xzZ2bO0ygVagXpIb3QHvqgD5rWS8ZjVvfitjXKPtrguSXQyFsUxZgvfki5T
rxhZK82dxTeloP4Dx3loLmjRjh+hUlNPwA0cqS5Fn3dlmhdTJI44WV1CFuWrDcJTg3cNc/Nvhpj4
fmK1Hd822VTbrWhwc99C/7l7NWVQ+NmQAsv4hFXI9Gc2xqBGY+Jh0WzM/D015dgCvSH5eJyhkgmI
zo4susRNFZ/UNR1ft0itY2pdVL2e4tDQ42YW1XpNu/Z6DN41J7xrx0XTeFpeLZLWKKFrfo772e4s
XwJK8rnrt10OIasv+8onkuVzk5A2A5gAEe+v7Nrlx5Uy6qQuIrvL4oleIsbySVf91Gz6eR6SrPHl
JkalgVgOHOS+Y3R+w2uZbwY5kVQ2hgCLbtTbKKqzRU8LUv2xqktR3y51H/stONr4ZrEFux/Glnpt
WFdfDnFo3w5zKZKCLhM+oW4pzwJpZJmUrcHvCGL4rQCudhF6brZxORqWNlUnqi2vBCs3iMxUz4v3
bUKdZ3cQIMsUQpZySaQi+q7Pwi3p2ixP5rEsV22I8x+9a9t32HIfaRznMkp4NgDhiOxSv23NYG6m
xikP3E3lGgFffD215cwV3OSW/LpOrE3idi2nu55VtWYRA2+c2c0MnPwWz6tIhiV/XTiCjyNCwfP3
M6fxSUtVLHZoxeN65nDpliMYkBmKC9uMlKTxFMlCR2ygdkd8EOsR/KuS4PPkmCcI18oc2XbwR0G2
dD4dVtXfhDbUPLHEkNe2cNimhEEozxfnr7slmGu4++tuHVeCtVMQ5tN6HYYrqyxL4kD9KSoDPSIR
sAJbsgcmBAmJrzsKvFEV/DgUYcnfVa3PxyQmPst15TtghCtF+NzTdrhi05xGVeH1PAx204p8PkFV
3GwoEiEZw/jBDZNtj4awuizJS9nFmuacX7Rz3F9PUbZuDSH2Vw+6Pa7ruXMJFbVrdjaKI5G6ilm7
QSKnLmFjFL3PezFEJ0Xk61gPtJJvJjoKlNYFlF6TqhubO1QqOesMAu2FYY/JWSODayB6x/Nru8xZ
edTYuAAT8vU9tfn0gYAUIi2mHOFEgb59yqgPW0a7+UNLTI8gHXPs0uYU3QDBBQ9brCOQ9aHLTzLa
zA9V1i5HYpHlcYez1e7GuGHnkDSo7KQtPPmtaDxNSwzpTAokY5VJvsZDl6xunj/MZMm8JjVMSYAV
s01VttYnMVis19JRV2wAzLjV0+rG3wC+4iy4svc6xwii+8hqs8vyvPTpmJdHE2ol1UvGq0uCgAxt
shZZfBLiPBNHkBEjmhobFZBVQXojEkhy123MHPnAewhgydoPkL8yg5jRy1AKB4lSLJY3XRYw20U9
jYsjG+r8fmw7fjzmA35fzbVKQ867nfPg5ldCO6v5IsDXuL7ZdHXv0oorU2hSQZqeLPNQNLoiInxg
UZtdGjnyrcBd/razqlSpWXzujrKiFK/Wrm/CSduQDKUhzkSmM1OLjarmuNDDZAoglMQAr+F5PV8q
r+I8Mb2N721M1WsazJs8jrtS80LEuqmbCq7uKo+otGirHFInS8CTVqytj/1s/ZUcW5T6TohuA7G5
LDeLHcJ1l01Y026QS2prG+6KPhf9UUzivtvJvi4fU/b+3vfreDl3RYPhbEg6zRtjIEjPC7pl/YTS
EuzwkTm2Xo85BHhgo+KMDbl4VXjDdJVn03kzrqdGxrzXJW/8krTVuHNM3IUBCI8TRmpL6ul0yiFL
Ii3ahqIExjsK+m5d83u4bjPo2HI9CHtfjrY6Dhmt0tIq0HcBDHnG4oJVkT+peACBxsZfKQjDR7bv
zAfgFFWjwfmJ18zdIsL5xsI9AqJf09QuvN5g1vBjVyP/OvM92nZq7BJwnGnTBLrFtpb3QxnhXYY6
dky92621IkaLwRWpn319VFQdfd1hvJzKVaHf4o7Vp2Ik0+3Q+Sxlmauqo7hf0LwrXSPMBpzkdLcO
Yph07XCbhIyrk961QLpaAmdPxilqb7kTatmsouVny0C7XTMDp3eCym1R+GnnswXS/dG7q0nR5UJw
xjvNp3I5m+YRWKGa+vVhKYIroGBU+4SzSt0s0A84W4gvEhFqBjlxqZLJO5QSYPIPZTR3265vfw8m
v7ZxGLBeGz6cBwFOtBdFUySecp5tqyY2ux4v27ZUblv3+awx9VD8cML3b4DutlCgWIJP5t9zjtmb
tA3cfVQ0j49516zX01Ks73FpxHXdLMOsUV6EpCVsCbpGA04sB3cJlZstb8rjiRi/zUssLgfHMBxo
VlFCeFMD2YkqdkSHJkuM7PnZWEJ+OkjW/jp16FTipXYaccmvy5j1u7bq5lclYlA4QnmlEle7X9uS
ol8zVPm0HLruYqIT3rB6IUeeP5bPwpT6muEEGA2/ylsuNlxae+IR0S1dhh2d5YUCmpewVrLThRMM
RCpeU8Jpu6lJzyFHHu1ZF0y0GSEYH4kYAb0TpjoDR1VsADLqXR213mrTtW1SU2I1weZmKWU8bi0a
5xsh5nA0haaH+xEP/FIZqYQ2hVjOpzKaNuBxF93QujxaetOerKvx5HTGhe83UE07XrI8vI8KhW64
aPsIcpU1vFnHGNiecfRdOxdoKyuHwKor2nkB9u9q029kKAtz0s4T0JApn9KRcw48Z3Xyt7kub0UE
B5kbDPWCfq0exkVmW/APzXW7ThPQoSy6KGmrNiyb3vUFBNYBV3Vqytw3Wz7zMSnK+TpvSnnheVZh
3UM60Os4h/RGZxO3p8h19bFEnXpAPb2KMqDdYY5WIGTZciXYIjZz1C8JDmWkHwsnxRw123wu+mMx
r1CbWppVvBWk4u+5ixIUcogkZrCnsu39doF8YxMtQGwvspkvv622pG+cm9HHqRsiyAdifjWsdlsI
vvYXPlrcdJ6PPgdOHeW7ai3vWo5J2EQ0zDug3svHXBXVlQuc7NpxbDcdqvrlFXKZZsNSH42qx5le
lpADk1q5IUCHZdQmrrDrlChIWl4hWtFF8xpD0IM+DUznfi7kPylG34ED7azJP48I//Hjf26aCv7+
/s6fHz5OGP/50/mX0eTvfmv70DxOAYX9Lz1K88daf47NPpby/xB1rznwaZj5G52D7z580lZ40jz5
0p57LLljDC3NP8aY/6up8KRl88f3PzUTYvmSYSzBnUEVBqY1BXS1PzUThIJJQhhQUwgGRBRBFDoG
n5sJVL6EXp7gsYAeBIUBEphA+NxMEC+lQNDQU5JImIWOYQT3y7mf2A86KM80E2CdrzoJEYHmAZPQ
moDG4NcdhJDNWeMsEO0cpzG/DCPM8/xx/v/Buo/7fdWZiIkdRShnuel5XuZ6XZflXU7E/GmG+tMI
9f9gebDK18sXMnLLNNdyk3dt111PAvL/GzOvzcfvi//YQPmzwfKnWh4bL1+LX61ODS4Tm5jwsL7y
uIqRzmnBsUbQC4EyM2377Oj7m33LBmD+rzcLYPtieuRrc6CKaoWogarPItSH768PPeBnD4Oeri/j
FoqDUF7eDNizc4wnBpkxKhBEbtXX8zaSq+h0tbT++vsbfuNACm761wfyCvlRPm44lrGcT5p8yIaE
hQFc1fc3eFzoGfMoGNv5egMFLg71A+WbyQU5nQjoHZHEu0DyM+7ygpzjwQ0OysdtvUBOWDLcHqE6
HzuYvfne7caPqntOgEdVf3U/gAEGx8PCN4OBllqiiNpKiiFRpi0UkFozQdtgWGR01kwGu81AmkbV
OjKKVDBo8j0RvqXjvdZfaZZqLPkEKlCEJ7RrPko+2R+c71uL73mFBpA6qaXnG4gv8lfULI3OoOh4
eZjoj7t+pbxSFVYE2vGNo9Y+IPjdlrM6sm5IDlt+zzdAmZH7FtLmTdnL8S2eWqbnbJWHeR615xm6
ciq8Jy3f9E20rhs0R2OXCt808kDx97wBmQ1WS1mAN2igHJosQNaYbluAUnqYfvbcAYHWTd0EH22B
KEtxFSyMQ76t+j76ge/8xuWRe+gPCg2QUHO1XRtcbRbDog76qi50P1DQ4yV8BntyD/xx41g5QClg
20RqrY6mDvtxU04LFHRam7P4wG32IE5Zk6nJR3Lb9wPpd7VoarRZa1zOG2/7aT4Mavst/LYZ24zO
ldp64tYb1y35ZS1FfPN9W39LV3tAniCxwRPQDkhrZrspQyfpmWFL075zXLn5B6r6lsUfP/8K0Lky
3inp1bYr2XIcVSu6jA2GesL3D/Gt5enT5ZvMLgiUI7aDbAlkdsXM3ou18ZvDlt9D9DDKRir4/YLt
WIIF+tJUGzZE0h8o/R6eB0vrpVwKtWVhdGADGNmIdECLXQ/cYA/PLo54G8+g/RhXjwUaDN3zTVfI
dbo6SEGPxPVr80qyUJg3mMU2hmTjrVQhXM3WQEf0+8t/g2uJPTxX8TjxArrW26oM0BmUVdUOb2m7
xuikj/JYvoLBGSqOv7/ZN+6S2EO1hD4YzPtwufWU9XbXr3SGvr+rJnQYnsVeXJ6hEyd6GAjZumA8
Ow4VGZUuBtb9KDY/quUZ9yf2IL2YwqBqgvsEfSYPQzWGSnlVResoTkyfVW4zG7LUv5aVoh+G2kz1
DzT3Lc4j9lBeztA9btYJ/G6pSn+SRyGTwOxdDLRO9VPBel33UO5NbC58deTm1chUsIk2r0cEpegD
FbznDZZMRFK5CGpGMhpSaie5VbKkP7iM+BGWz6mXPL3sfIQ+UEvaeEvR2jWbFWdjv+HZupY7H1O5
XJpQNR99xKZqx1ZV84uZUlKfE6lU8Sv0ojj/gSjfuqp7jgNGQ7hvJsu2XmaBJmKNH/w8Q+35MCTs
uY2yowIvcyG3XeSnrekxdLANVeb+oOX5ntMYcCdUAa3HLYwZqPccQulFQFF1mM/mez6jpQY6b5GM
t7yETCYZsKpWPVho4/zgln0DZXzPTwTbQult7tS2X6AreaxY1yGYA8GAuJzkqNG1HXylySq8ufPV
GshhZuF7/oNONVRASSe2QmXVoD0UcCvoMLDowHDB9/zHCvW2dhCd3AxQcNrAcINJV9FE6WFm33MS
IotRXbTzug2D6bdrDU060fniBz7oG5Dge9iHecQ8miE0bAtiYSivx0UKVWty4KXagz5kPY3Ctlm3
BPJGKCDjdzU0XQ+06x6asYCq71waaOHJpT+HCh4CLtDmuDhw/T0458XQe9ot6zbKqviYjLNLM6rY
9iCzsj00Uz9y3ztYvc8ISyYqgw4VtofJzvbQrGoYyhglmDXqSZ44mADUwkEj+DDZ96BcoKhDUxbW
bYtteRTi2sAMDluPvr/6I2yeiRdsD691xvN1xdEEs6T8AdJONx6x3vl6208wevL9Pb5x7R9/4/hr
AkZHOdaFy6YtBeBexz2MYUGLyR2WjrM9yPY1UKFpFdO2YVwcq5gPabHUB7obtgdZ3FdlptZi2JpQ
slNbVvLcz+WBou8hFgJ15hym/bZtigwnHYeOvMxnl6eHKX4PtDwzAYaDoMzjazufuB4mUoYsKw8E
1R5koT4ajXgo+iOY2ZzCazohVV7yTon8sHtD91ALIw5ja0aYwpzNsCbO8/dLDK2Dg3RD90DLi8gx
pbJx05Y5tH3DAA2sGGbRDlt9D7TUF4xkhRpB89H7jgC/q+M5O8ysdA+zzq9dFAXxWXRGWqL5KA4V
fR+tXGWDyvG4iScoGpPH1WGg4tDV99Dq0OizMsDqcwFN/EG5QcMgSnGg2vfQmjOuGkQQrM7IQ2tZ
eWSsObCyRffQCgPepbIGFo/XodpCO7KDzEvMh3GDxybK105y7mEWuVwcDI/32aRnPBKNfdYfFqLo
Hlar3JO6oWjY1ONa6ym3D9CUxodpnezhNMD4hm/yadhULmdaMP4+GgM5cPE9nKKMd3TJI2i/tqhO
w2xvw7CGAxffg2kb4rkAJjxsYHAE+rYwfKmHjsgDV9/DqaRFBDM4MYgeD/g8QHvkKpOmPKxFRfZw
Og8MRolg5e2K4f+vBL8XoQRPoz5S4bA7Q/agSmBsq4Ke/LhdYO6t0xH1fOsn0t8d5CLJHlZhbpl0
zVxBZM1CeRIXAacwnLFsDludPIXT0GWemoUP2z6mH3BBXgVGXx229D5Sw1JUyxL1W5tHF+Ae3y9E
HlgrJP+Hs29rkhTlov1FRqig6KtmpnXvrq7q64vR3TPjBVAEQfHXn5UTcSKm/Kanz/F1LiSFbNjs
vS67OM07gNKigc0VMGrZybbJ68jr8dgHjXZxOnAT6Dyztgq6uStFzx4Y0EXHNnu0i1O0hRdlgEM5
D2L9o/PAciby/tCCR7sozbqlCXBf+wrDgiG0xaZNQTsizbGjN9rFqWsS23IK0Cz42uEXCmBPV5hu
i45lGtEuUO0k4lDUowWeRG+ncWU/2k7VB5d9F6R11k3MddpWideA0EvgZgz/Xef1Osi/PA6u4IF/
3kn5kNJOBXKuQB3MHzPTRI8iqNXnY591F6LxHM8aTCNsxxZgUyKXLyzrDn7SXYxudMz7uuW20okj
RZStX8WUvT82712M0oWuS0cwdtCbV4BZHhNqHg8NHe4idFzqupkJsEZhHQRl0NcP3RYerA+EuwiN
IqXYFsTBGZpo78An/JppL44dLeEuRIMWeboesSaiHZ5HQA1r2R47ya9U1X9uQqoWT1YU8M/j5m70
Et/T5NgNGu4CU/lkTkeFt10qm4dsXKtB18farOEuLDsxr621mLSSgJbZsmefju2QXUiKvNdq4/iI
tOU/9Jo/Z1t67JwKd/FoQSBZ/QI8rzd99Lr5Oa56S8zp2MR3EUkG4Ev7Lp8rEwBKEA/8Jq/zL8fG
3kUkF51JIEAXnIFyBkwhTL+DOXfsYgOJ+O3+w8aeJhHiSm67dC0SQ4NTnjN3KHAgGPl29Mw4NtPE
BYDTv2hQilDFPrImNN9FZNu0E+g7fq7slQO6EKOKaEpfjw2+i8kF/S7vh9qco1bdLAK9fXCb5kM7
he4xXdrakAcCg2cieU+s+tlRrw+uyi4uoYbnwynLzVlL8j7B2Kt1R8fehWa0dIwQMPYqQOPDBwsk
/N1E1/TgquyiszXUCeSz2CjJBqpg2H8UaXsowaL5LjbX3NKF54j8lfi5L0Nap+MpRgbUHTpaaL4L
ULVIWqNXM1egaXwPFvcZzYePh7biHqzlCJhXKcG6WNskp8nyDiSnmB3KI1AQehueunUM9egVE1/X
93YM71Y3HYzQbBehvWQhZS0xoCiQRwHAIeQMWHxsxbNdhNpGA3Np3VyFSjyDh1n2uj2UpNBsd23q
JBh8Q6Sp4jiJy0VGYAfQ/q9jn3MXoB4dBZPJ2QDNkH5tDOjQLHk5NvQuPsGKq3kWB7rykVgKMbLp
MoDNdChNoXtg1ZgsQ+6AFarQQtpAvRqfGDG/wxhc//r/TcTpVcjjnzmQVbHhbbToagTWRhTG6uA+
cKH/cGxlduG5BASnIrX4os7/YZDBrSb7cWjoPZpqxsXTqnQ0FWgtH1albkMpj+3DPZDK1RlPe0F1
tbmpPbuliU+BGH4em/cuOLuN1kaDWFzlrSo59U8y+13aeY2Tf/mYe8jUEqAe7BTTVStdYqFLkvaP
Uwo2+9JDEaU8Nv9dkCZ8WEGtS3QlOvJNtPRzoPjrsaF3IboC8ShSVmvEvzM3zuioiBw91qqjbBel
TdwmnSYxJk6jz9IFV8al+nRs5vs7dJ0U12FrqiTu6HLeiPUUoiqi5adjP7CLU9o24JVnAltyDZ47
CdWL6dhbnLJdjIoumfBgxtC1z5/nsHtXk/RQG4ruAVIi87UEpVhXpJZxBeGO+Tlqlu4Q0pfu8VEx
c2HiQF+q6nDzhddTRehBdBrd46HkWgfzalpdDU6FRejYZVqaY9VhsB7enrqzphaiMlhyHI/3zsf3
IlmPxdAeBZUvjbD91OiKgelYsM3f59BcKQ7twj3SKccuCdeY6yoa3XsSTQ86nA/OexedukN3IgUb
rzJp9rmL9LPg06FHHE13wVmvVPJG9bpKsTJFDhB6MXmQ0o6tyS4yZ1D9g37MJ/Rt2qnUMX+2Qf7x
2Ni70AxDvLMGCJZUTUck5DlQqDjbMEiPLcweitT3OVBpvUfc5F6WmU3TD6ILt2NfdA9Fcn2S1sDa
TdWW6xjkMfqEm/RY95zuYUg2GLIxWUdslzGnIcdZ67mBKkru+KEaDjr8b2MUWOAwb9YBa9+0CwNd
ELCduqbTsT4C3cONPLc207JWVRYYPoGJquRfNmfLwUdjQt/OPwKHmC55oCDY4M0JWhxgc4JkfTm0
M/eAI8bWNQtdqCpQvGNobgDEDlmCg+djsovYWQCBZ8igKkNZMxfRFvPv3K9Dc+wcS3Yxu3Y61cuK
tRlbMMmhHPMRlN9jd16yi1kRj4sMmMW6D5m6gWwGGKVibG8Orfseb+QIlL6UWFTV18n2ORzr5gYi
74ofW5g94IjgnExij8+aD/VkLgyyN7RI6hF6V8fmv8t+0Yzj46AcVp6Y5Vbr7GM7iWO1ebqHHDEu
Y2CMtaoYnV+6xjwvfH45Nu9d1tvUfiECmiUVG/Jvwwg+fws1rYOLsgvVCSXzLLBSVUT32TeGpsKN
5WDuH5v67madw2D1G0nGCpGaFymgL0XgA3Y+Nnr89pjRPkCPHmIDVeK8LZJI3fHhdyimv1PQf3nQ
0F2cTt0KeB3UtSqX8gb8Xjn0OGwgIQXGuswbfiOVX16sNOKWGBKk0AECc/wVFDc2vUf9z+iXnMn0
hqMvOd70fIAsDhMQmHpq1ikLl2Kj/aQ/LlCvsmXop4F/H6GQB049EssY0liotZ+ZsquF9AaqZGWK
LvV6a6cg66uYrS29rcd+ATU6RDXhSwBkr79EpDfsRNiKMRco1G2XZspbA7ZdvNmLjON1OxknyfBt
ZZTW72eaBv0PAx2uqcq2GFx0veLvPUEPIjlDmC3JyoHFES+hDtLYmyYam/whzQbwwsJpi19gPLBA
xSLVt6ozeqvCMc/8ZZHC0ZPTtEnODopTKGGL1tGyEQoiDaHLc19muiOskGOno/tlqPv8VpBophWE
KMGzTwh3t9sWyCc9uJCeaOjcVvS1rrcXARFKdiwLobsDU67UptySsUqTdkTVJyjiBrIKh7bnHulF
aO2RSAqIGqTyz5ryl5p1x+a9x3k5dGJWEWPeia0rSFXe1Ul0rDhIdqdk4oBMiVBBqmAaARmaIIf2
FoScDq7JLrPRYUNSjqYdRHOgf7Ly6a+018eSPrI7J3vQW93AwrGy3qonsMG6m5HM8thRRnYHZZtC
426A7kvVaE4fKPJXIP/t/PXYXtkdlFo2zjnlxopnjf2kIQqHYv6QzQeXfXdSTkM3gyaSj1WOonKR
xP1DuzXHmGZ0D/IKEcIJzSD44EdVy9MYLn21Qrjn4CtnD/OKIBO5BQQ7EnoayXqOzWC3ggUJVDMP
Lf4e6jXLaamDdh4rNKr+WhS9SwJzjNFB4+ztHaXsot3kGTQrwhw4stmwVZQQIor/Ojb3Xbi6ZNqI
s7GqxJRvWcHGiaDHnsXxMSwGvQo4/7NKu6hBRCF0KcG9iSAAyZb+3HXdwQRhj/dSbKn7rcEVjh6N
hv5KlJYqWMLq2OLsYnYJQZVOumEEq1aIu5Q4iBOlk06P4fuhAfp2bUw/NAAyjTiGB8vu2oGE3/Cm
9cdKwfEuaNkqp00a5KsoZa2QIK1txcKZHdz0u/wmJsLm3fV26jvZlGaZmsLOUh47cPaQr0hHK/R1
s7EK/ED+bIE2/3OTVh5DftI96CuJydC3PVdVkjIX3PJ8iMqwXpbkN73DX/DqIFz+9suC21rXqciG
ahMR0a+Kd24sIdQaqxM0eoJXEM6egiAX/QlZHLRFIYYo0ksLgejx2Nff48NACk5D2yP/XPzUZiUk
6iBAIdtBiWPP6D1ADEK5G94s15OphmrNvYS2JqsgWTqH5aHo20PEttBq0GvjoSIkglLPuvQLLXpO
3cEEK9qFd2o2qYcYP+BtDNjyZj8Dvf/z2OR3oQ2NSQ+h9m2olB5MuTbkr21Ojk58F9nNtEXGcCYr
5LYXEfO7ODbHSgB/Uyj/QfuWQRA2CxREqplCmZgHFK2GZftwbFF26fLcCt1EixsqSE1mZ9tCIE0m
3cGrco8TWxiMPgd80arTa/BD9gv5qQNcN4fmvgeKmZ4OUL+PZIVc64lBqw7anL/Rcrnut395Ku5x
Ys2KPmOqx6Eya9zeRUJnBUxLl2OX2B4qtvC0yxwnsiI8G5uiz7LprmV2aI+F6R4wRvN1hGJlKCuW
DNBRzjOo9kX+2D2wh4xpNTRNnXcDZBrb5cFoSUs29+75v7/pNbP/t4XfBWm+cO+WCPe72OiElD80
TX4WYTSOUIgk43Asx9pjyDKf1pDAb8YqtOQqXZnMkLHjQQgF6//+O361gXZ3sQw6M7m8w95M4hc7
hx+aqD647XchCyWLOQuhhA/KL/TEOwgmQ5E7Gg59XhjZvL0mB2zGgAMVeI6Yrj84H6gXyNEfYzNB
Vevt6KIbIhvGRlzP4OxZSZJUcwf3iCOLTvZYMoXqQljLQaAZjqrEOGXPAcTSDy7MLmu2fh689Z0A
QgASTiXIh9PXTeSjOzj+7q0LQZoaMpZaVJtmP1A7epSs/XxsXa6b9B83CHUhutVgCIK0OtZ9MRnr
/lzIdEx6g+S7mO3wfBva+rrsKqtRcDTZrUwTe2i7Q8/+7eTHuLfrpjH5umlRdopiKCDz9dgNRfaQ
sjzdmE8M6m/RMkf+NHTAI5T9MPTuUPEFqhdvp5+5pVbIbEUVtak/ZU0Yvh/B5/tw6MvuUWU+7VDh
Wqbg1ETNOt71YRQ+xbFK7G9m/3el5X/PY7IHlsEUNl7T1GLrpBYavlMUDfam427SFzzEbHyBll5q
TlMi1vEh8HgVPCjWT/JrHBF6sWm83TIa+KTIt9pCXcEHnL+TQ7LGpZwm35Vb09bbj7GGtO1lULhz
S5v0608iKb13qp/vfNe6C6khuppv0MCA9LXs6PbaRuC3PPOrTsXr0GXKnPBgoxv+LSSz2xDIz6de
QZ34hP/adI8khqvBz2OLvnugA9cIAx4Qks9NHfVPEOTMH2LIXR+7YKF0/nbHjAFPRlRHeRWv4Z9p
PD3nUfP+2Mx3Zwzeml4G6cIh5A+crYjpbTya3wlpXOf3b1tld8pYG8hmg09ONSloddxqAy3yUw7l
TJgW4IXQ3EK5WbSHqmvQ63u7SNGUw1LSJbwKVJCeKV/EZVOi+XhsnXZnTutrizci4ZUbaXuCIjiU
UGEO8d+DXxf739ZplxpEYdNZri2v4AXUvQBVTd9BiXb9vvZR8JvK5q9+YnfohHXOmlhN/GxWwtNT
O0966gqnUWy/7WB2Ev/mUf2LT75HzQGe0FiXigZWTDPnF3uV3l36QJw7uWVxCUT3saoS2YPomha1
k1oLLNoQBwC6pZ9xEB28wNguoAMIjqAQMPAqQjtuJtBMJtFvDuhffIk9iI7BbSvbwME98WZi8y0s
qJLLmOXo+6eNE+EhdAFh11//xwWfYOy061gAmQ4ICYLr3nzJYbf1mw3777ksrAHejm58PsH5RPcV
Y8l8AeY6K+oWVh7/HQ6/Gn0Xya5DKZLAr6nqaEYvynl5yvLu0DuOsF0gh6mKhGCiPkWuuwtr+AaN
6cE134WxJ/ApGGFmdNo2eq7z6SK7+ND7kOwxdLALGzuT8/rEu/ieJXBkSY9V8cgeQwdY4VUIt6tP
ql+mu96YuYIX1cuhT7mH0NUJa50nATZ71JizUpoWPhf0cmz0XZTCN0vXSRh0FeuMugfq9fPU+GPi
sGSPoWtS1gQutl0lfCwuNp+HG/jcHYOikj2MLvAr+ilSd1XX99NJtdlDwLQ5H1uXXXhCBnyyhoz5
aYYzxXqJ4+UjzNH4saIirDTfRn875vMk6JCfBjc9cTFWvR6PXeJ7KJ1v17WRDRIpMVu4Blp4xGwi
+c3J+4tz5eoP+c8z0QGdv4HhhyAybiyAGitVCkXhY2u+u2A3iPQYN6sOrCXpy6FR41TUesiPAdIg
SP128rn04FzwJAfRatziIhO1vh9X3h3jQZI9ms6mQz3AsSU/yWVDz/YZKIDfrMzfpdp/SW/2WDqa
bhHEqZq2inxA3H3YyQQEowbCoa9QShqrLsk3UrDJXa0UUV1bymnmiYMcp0r9ZbJ5OMEiLGri75Il
savqjHTsUAUeDstvl3UNpgi6G/P1uaTn5rYjYWbPreFmOB3aF3sY3tB1c5pFLTutuk1xQPneDjCW
SyPy89gP7IJdz9zC6UXZM1wI1VlmFD4HOT1UaSZ7GB5StoQoIu05uup+LcnV7IyyQ/hqOPa+XXvF
HDX1jMGdhXazMHSC42J8DONH9hg82lqw4e1gr7ZWCp5LcJtAReLHsUXfRTtcl2BbS+r57OJWwqox
AIELXq3H7rU9CK8B1jSkAdwfRyBripHr5kkwMn86NPc9Bo8uSpEI/hHnIEfXg/KtgY1Kcmxh6O5K
7vQSwcZGzGdoVMbvB7nyH3A9Y8fSoD0Ab0vaZZqtM+dhSEUJ5WoowsD38TcH1S/uh73al8hnspEs
MeeOrfqS1DP0xQPYPhxb9l2ckiUmm+CzOZNFtkBcza+gV68HB99dyXaZIJnFvDl7Fm3wMOW6ZPxg
rkLjt3GacJsGZMKqbxJyLcvs/wr1/zW2+P80FCB7CF6wKTnVgthzA/YM3MVamIjFoHIeW/RdnMJG
jNadQ2LFYHFlJHmRbXyMXk320K8WDrDjqKg9d6EOi1XBGKuuAaP775n/4pm4R3+JiE8xHwkMg2uR
uPetlZ28+DQW+kI1PKePRdQeCVY7UsOHB39EEmfBycVJUw6rPYYEI3u9L9XWbJ5TjN40Q3fKAAMr
89H/8d8r9Itw3UPBeI/jAHhGfYZ1ky87OfUnI+tjF98eCZYrGs4ySeBSzK27SDjQFhAw3o7dfGQX
rl7iubHpRZ/ndhOXyPCPW9QnBz/pLly3VtJtRK3nrLKWlVKsfQlI6jHYP7r6bw+DgXk2s6xW50AG
uuw3NRRE+WPKTWBAvx29plToqE/VubuaV22JFHC7M8dUBckeA2Yjj5KzbrJL3w/bK5x71099OPxO
t/4X+3GPAqvJskQWYOVzoiPwUa4Jh4qj39UIfzX67mKFww3K1T7PLzRA6dwFP0cxvB4KpD36i0dx
VMM/g12g81WLwm1AJ8IIzHw5NvyuFBWJkcCOSueXRMkBANx+TduHNBJDdixW93JfymQWWbzKL7mJ
ij6P70R4MBPbg78gxDXNcFnLL5Li+rviIYZjgESyR37BDKKrWzbll+0qfcSXiJa0hb/vsUXfhWkf
inbe/AgPUl7fDFq9D9NjaoJkD/sKE4CKiJTwLwb8oR+CB1hvPR+a9f9AviAj1Goy0FOcWhlVVAnw
rttF2o/Hxt81mwcVTT3c2tmFjtEKCXVqKGyyZfY7PcFrMP7LS3eP5+oCOLtmC3wspQrMzVw7J58M
CxuYXMqJ1beN3Jb2cd7q/4fH9d9P1X/70d0Tlvm4Hlw/CTxb12VYy0h0IlZwjkfUiUtbr1wU0yhh
V1MMMEMd4Wjt9cBuR6HSVl7wsO65LAS8O/1tW/ug/k7IAtjdEALSyuEp72EDVyDJUdMDT6NMPToD
w8n0dg0om3ihN9EEXRGSvCNwNp6ZQiI0pvh0RZJPY/Nd6VbCgJByBsNHsnHIPZ88HvQM5s6TW3TJ
PenXF0jILQ7GnBwWP5D59t1qBtje2iClBSzh44nfRIqnkL6XqFnOsgCvQFhM0LBx+KhiiYdMz/rs
L6kk/rG2E3WnFHBfUlisEC+dW+Ku2mBSCNclHhIzfB9RtGW2WHUEp+QiydKm/Tp0MBL/KRsLox8Q
ObdRywJqX73/cgXp3ahN+rUYIBplymXpTMRPDMTJ+ryhZROfg7heTVln2Gl56dLFJ/IUuy0J76PM
pfmlS+wmwQubRn8Dl4ABDoLKpY99aLvsFHZkIWXL4G8+rJnMTpmEAC58/poUvqRm6ce2Oc0wXq1Z
iQrJ2oyY2TRoVmRxysAbcV1VU4a0EWdJKu0dvtbYdgWMMNGsyqMAVqBWDvG3aZbpafHbyn7abvPk
ovSY8KdNx1n6qZ3gBv1E5pqQh61uM9ucxAaOCr3ki42giLClzIpHMDQyfC/VdQqTa8Itb+wlhKox
sjEZwm78xqdkXX5MmezGphwdisG3DAyk/DVa2Wp8KQYKJ7EmC64ykMKKYQnAYtkA2oKCDrPOnj2+
5TjexgkKafFtygcYHfOU55eUt0M5pusiNaopPjCw/h29M/ehNfwMy0iyPaVjY/vXdY2bIcN2GGN7
6Uli1nJsWhpDJbb14oR3TZt9zWYyjPf5uuHh1yahhTn3omYU84s8S1iMDGqeCSFlnhDSP0c80+kF
Ait8vR/iJUJVO5yhrbahzTy7Btyt0Jt0BpIzhchaKOyPWATgzGjHqHphiYyyU1ubpP+Bt08mEDSS
ju5k+mQ0T9yGTfoKeNYkL71noAnlYzgmd1sSxPwhahe+/dENYrRgzOhgpE8TgrY9D6r18a2SUT99
bgOZwdZyo7xJk4JJmquncJ559IP2dZ15mNTmsqmWxbnkLtQdHb/0S+oT2HaaEGz0BhboOaSdk1T8
rOel4bADnXj2IyHppD6DXb61JbpLuLvA8xjhXYn6e4b/eQzoz7HXbruVsfL+lW9hFJWqRST97Cm2
+U3D4+1pzsPmEsZT1r/LtGXpOcw61X6YeLtu7xcQPOIAnWjoBmSnqxJxemuWeRj+4ujctPd9CrfO
ahx7UVdTnEf63k45i8ueEhp/zdKY5n9EC6+fQCEP7tBG2n6C2iKLfkmaUwOBoOC0dlu23MFDwm03
EA8iX0Te0fykBJiOz8y3YniKmrqLbpexs/4cTG2/3uReh2nF0pWHn8O05vWHdsobVSo/B9BE7MPc
gEQjUxj5uc0k+tGE2xzCZTZV4iOMO+rxnU1y1l7Clo/sNK+9w9m5JJluL8BPR/pxyl36U0ATYChr
lAyXd+0aahwl7bgu5zQZYYF7CtGtcve8h8DxpW6sAr0mYK55bTOT01uplEqLuQ50+qNt816VzWD4
3BfZENUhjI5ghX5rhDTzaV7iMDjNZoijYhDbor6SOccMTknYRJAzXDGLLmiMLmDGaYbzcJXkgVk6
ju+naQEx7ZwoDVvq0C9wgsfzDrqcsIJIH5EuNX/WCGEGW9A2lmUql2T87Cf4M0LgSEpInhWEb1t3
u8xgyb56+NPpuminma047ze1jGPRz7imlwIVb2d+LtaR5BMsODQuBA61mvyDwCjXD6lmCyfkPEWn
8zwscAgtwP2EmayAfT0/O9cQ4YsmmrPtfllNg6rFChur/CasPXJEMNna9tbAZQ2+o7rrgpc04To+
tRT+3ScTuig/Mb9t/ScdbqS/cfO25JWVY1CfpiWu/QOBWc77MDJ994LKUex50Qkx5xeoxjfzXc7x
gnmCXfyYXSjvcN/NdZ1MwHnD2P5BNmHPy3HT0VxSpRk8U1Nt6m4Be24z0Yc5hLF4YQc6w/h+DVl8
M6Jl3D+NULrrpsJ5CgMd6IoX06Lz6DYiuZnfJWYKhu9xt2biIRXEYI8NrRTtH0RkG3aChGSbOY9N
1rkL/rK1PyeSU/Mx5a6t70zT9eQWJNpUPFodw+DrjONIpCf4MpH6zw1SydA0N22f3Jixaxpgm8HA
wh7JoKN01/azVzeqlwSY4RgY4vBsFFwPCzf7IX7Bb2afHJyo128CovHgpOdxO9JygvxiUwY4n+py
rdX60sfpTG6yXIHrkgwDwKrSafgEe2VnWMrpcVlBIHEsKtFQyNr3mG6SvFsX33Q3wRBTdI66mgf2
VcptHO4A3W03ZEXDtv7ErWFgJGy6MIyer50aEpakndj2uIU5lQYn8ebr26zHp4fQbAp3s4cFB/L0
Du4XRt+Gc5vPN+uc5sn15l5baAI0WEZjijlHlIfQq2s225RTt3j/TPJV5AVc07L0wqjE+VZwsvT6
XThH2fR900bRvhCzW5NbT0m4PlHs/vZLb1ZY0OCPJGP9jqMctnzIOBbxbot7vZ4GYpP5Bvd/oBos
LlzLz8vG2NIgeZrHDR9TN+7iFh7Ijyzys3zvsGYORu+Ahb7rXdd2Je3b0XxZFYuTrzJmPpMFFMJC
+EtHgojmjwGaqeF7qNbT/PsI5RX+bRITj/G+giAiXOz7uGc3ks3GI39rwyyFpXFgPa5CseL6QLYH
ydg0SBw7GYg0jB4YPRb8gKq8p2WIS72/3ezEX5nF/j7zcBFp2a0baq6SDfRzEgMXURKf1X2Jtyhl
cEQcma1iwZLUFWQN5fSk2qkF5TiCfOdF5b0YH4lUSyCKFAys7/04zesliTrq3kVDqKG/iz5r/kqz
YWkvTsAp5/0Ut+RLZuDycjK0Rikg64I5ffKDqtkl1P0Sv0P/iQwfBGdmu4/6YYJ9+kARG4DFA6iW
VRwiqvqxliJXa5lR2rz3QL4E5Zp20n0w2zKBEA3ea7yUkDGsecnyqFPvuEGNqWhlI6Yz8eDVigso
atE5q8kwnHRYx/gSHayyH6lVVydX+Hwj+ckArWybMs9cEp+kncLIFnxb/ec+gyV5UmwSrMVXBXIb
+dSYdHzQg0XGVbZNH5RRD1U4X+J0dwVbUjJ/ji1kD26adFG479kKv+6CgMCr5sITGsy3HaYQPttx
mBlsutPpxH1rh4rDm9l/TUK9uEvMuIjgTKIheRbRjmQnIgAPLgyJNpil18EyFzqpe/NkAZ3Kh1Km
kokHbmr/LvNXA9RNb+TeZBkPzxkcbFZco0g5TnqjOPYX4YLmlqdDMr9aUUfuw6DhKo4eyRR/86Je
XFkvLb1BugbXTA4WzYhKe6HXvr1pZwVhDQpeNS5bUm7bnKtihBlSepp1GN80yAc+L5KR+wZSSrJI
834yZRvFsHYfNxUX40j79C5bGv8HBfunf4wROrLaerPlj1MQ6/fhAolXPIHI/NCkWbwhd4qofu8C
BdjuvLIyBY38Ef0ckLVhXkqgRg4a8qPXWfxxXILmzOM+5YWU63zvuMjfNQsU9E8c27hMVruUcVt3
N5TS/MGmjb9rolV8843rX3IidNmF6bNItPyY9PmQF02oDGAnVnA+FWvY5YspGmS7/uJhVedv4GXf
fEqjVd3Nvc/yE7ZzWsrNbutl0H1y5wFfpB+XIGMvjViAWjjF88CCm1oyt4iixs7NQJP3bfhHN9d+
/pgkaeoL18k1A5Qzcos/dVc9gFvh1w2yKZmOvIKz7jQZuKGvHRn7U5O6KLhzEQUbG7TSJbzTbVTn
TyZYzXxx4PmHn7ZUxGmZe+rme0tV0nxD5iqnczLHQXyjOtXRh351AmavzeBEsURKZ5+IFSp8NxFL
1BkyDX6AJIFJ29sxcLn4GrTwEu7LxHdJdwpN386FTTqkovlsWVdqgRxlKWoSECIKn3jb/VwzmL8/
uHV02w+YUi1Ih9o5S7C7BWIrUUUPwlB/hopOHVc6E13/vEZ4+5/HgRJ5mRnOnRNeNA27na7wu/PE
ZEzegVTTJ/fAz5LoFOVrkt9GoE2tf3UAY8t31syZCkufN669M5MhYVpAUCRDe3TrY+Gf8TRmMV7B
gGxu98YIg3OhHdjyfzj7sua4cXTLv9JRz5d9wQUEEHGrH0jmpkztsrYXhm3J4E4QIAiSv35Ountm
2uoqe6aiKqJKtpRKMgng+853Fv9StViS9zWaVfdS01ocoh4jstC0jr34Jqy91xYDVrTJc0+RuAgQ
ukjxdKBYSnI7YXc32s7Z1ErNn2Jo+sdH7rC3PxsziKDKKBs8nFd5R73pPnZrNcvECwIWJuOY6zYV
edgEV2bl8/Itgty/edMl1GwbXiG28G5pilnAcID2+gYZz7SeN90Ed9edKL2gv4mxyrAjklAPHNtT
MTOAhUUHWfO+Cknh9mFd1KTNolWjBEiaOI4lbOB79B+o+KohXSZ1rkUQ4zK622rUWrqdqGWtHxvj
9dO2r7xRHIwRluITW4XT2RA08/RaCwotUlzUwryOrh6mrZKk9VJRW/9YDjKP0wGD8PG0VFUk8ZGw
EmJAA5Q91WoaUJQOMexkHu0Kl1wIpIf81Mtg2Ll85ndDGCwjqgO6rup6aZom0cgGTSAKkzZEvhiv
+u3iOF1SiThVe1hDgwatEJYlZnS9p5LRjs7cMt+x4tuEaBO+WWtCiix253M1kQYZE/scZfaphDUX
nrrQb8OLvEI+61HJpX8SHDchC8cx8puElKA8PJpmrTxUqQvxdvOK53qHOsBnFyOOgOqzc2G5Qwvg
i5ceFuesSKmQpLxTEy0KWEL7bVzaBA8ZDVOOXXVBN+dBOLeywi+veOXImmos+E+1T9tNk5dxh6WW
24ueAMG4BF4R0hvezXF94SYtvgCJeUbpMQYxIlViUMB7ZMQEd10g81f4WVRlJltsimWl68txJKjM
VhiMuEPDeJGqdUHgCGQdZF8yHTaXwxia5lLn1hytUn31GQHR47s31MZks/XwMUYze6xtdB7u1Bxn
+xy5xxi1xJjJdUCtDl7TOCeNY+0WYmURJ5VyErUBRpUTwu74DLwWO6EBvjNWVw4qEyQw8jPSA+G3
fqxRjCUBBQP9AChdmFM48MG7CRlIfCAFsU5OhymWcmzwodiFGCi686rczCTkFdtUPC5v5YBs+I0P
9crwbZ6Cekq9AsjVK7wakIarKTfRpiuCJcCjWQb3ukQ/slu6yiRBhQ1UJZPVSLGTgS2+ctqa4DF0
tpjSpTU+uh0WNdOcVBNvvJey9PMv/Fya7PkMlfmnJVbvY92MEcpdMfgoZtuotnuBTBCeili37z3F
kk04IjtSxIKQaNOIiH8H/+pwxU1Y+Ab+lnmEVgah6ts5YI49K+kJ6I9LkQMZ9EQLZySjYFGQoShp
3QWN+/5r08yhj30uKqruEU5tokoDXbhwX43R8obWWa5H3QT5e1s0q6DI/16m4NQWLho+eTmJ6buP
yAz6htayADJSSXoSva6xd5BiSQPpD+5Gi5wp6DowW4pkLMlN6cUx0GyUHuRIHQxFt2LScZDN40rC
zRRPZkqa1s738ET2oyelxXTreZF54jnzP4H7Ma67PocIaO/1aIznpp2nTRxxGPqu1aSecM/rY+fX
oLXFFQK44XES9Ye+EGJIqepalygvr5+h1J2TgUK8pVTk4qOelXfDYjdfxmIt+LbPYb2waegy7wbE
Sux81ZBDhExm7HldaB4LIelyrWQP9fA0we8noYPNx3tnYfH6CgMRNGdmcVHxDGg4ZEk8LbgPgasq
bAsi9MMeFQeD/piT8VMxxygSQ0AJUqLKqKgHe1i2epkGDZ5uKJfATRzi1ZFTwvRa7gJF1CPs16v6
LuA9ROAzEhjuSryRJCwnX9kU2/YyukQDGwuvVV2wKA0V3s6nvs9dv62GvCrSIGLKfTlzXQ9917Tt
cWZsbfA7as/c1X7kmutQMoeCbSnDLefK6/egUDJ3Cyi622Cb6LqtprQyWVBMjQ+6HIJhN70j2ETg
j3GBzwJwRK5or9BuO5CWp2UZ74xXVFPaUes3F543tesO9mPrm0cRm5Q0iIY8yrWfsXxyjttRO7Kp
RWTTYRjdRdj7KDiLsjsuqqB3YC8PUAjA3xE4B4wawojlz94KOvmWQyGzfALONE84iAzx30auZcCQ
gVOvgAdMY1V36DChKF+LdTBtik8KgndeF6jMsWM2U5sWQ67gXw7zInEJizTOUuFiZQ9zHw18x5AB
jmjUfIp5mXgUtodbJ8LzIvSqSUqkKw7omLD51Fm1GuEOI0QZIgn6eWywjDHverc4O/OD0iOR2QRH
bQImZhtE/mMfoULLJid0kbJoiqH1GeOlfixj2NRkBH7z5XMDQCNK2s4WxScyr9g9pOfF/kXM/Jam
rQiaIOuBhk1p302AthKIoGaZVRAXkutIDZrfIhCknJIFLtBqY5ec9skSrBEqGKH88aunkaqQUEg9
xC2ybCa2Kxbl2NcYF+WeDArU+ESN37A0algd3DTSEZgmKzQFRWna9m6BgL/eBpUh7ZJQiO0nAJhF
t0o06iMgBzzUM4pCZLTnA4K1hckvi56U68GPyNxdCgWcNolV6OCXrgr9TmhYFlfBmnfgJeWk7vaW
T15wA90ki7GmdLg6zH+6RW2R3+j0Fkw31aaYqlD7pXOt8RCQuI784DWAU55J054/oRiNT+ZroSqI
UdGAtVcW+GGdQl8xGpvAi8UPjiQOKJpLOnrdvgTPYvrigkWYLI/jfNw57Ncu01SpetOEIR+yAIk0
Y50Mul2KLbrBRhzzCPZrIF8253gwpKX1WVWUYr7IR8J4Cp2IFDSDEwPBgirzFvNsjEJ7eRFPc7ii
ZhlVtAdI0GNaP6C2S4DD+nUCwehaZQMeg2YbzdYf3llJ68ZD7+BHY4i8W5iYfFN120DPVWNCNuIw
bVEnRqnXaLGLAxUs86H2ecgf4RndjieH1n5WuPAyqiLUIHPYX1NWNvOTh6sRXlL4Y9jb7dnNGg3p
xNcpurLnDvqYe309o/gCXxYGU0su5fXS+gbNirZhjAUe1cCsWIpZC0W3Skwruq/lgu4a3L6FteRd
j5M3oBhgFA1TP0LbOCGtptcXRvSWX1NsHhKlIq/Wt7rANOK1qlxfbyMZdZ7D3VVhhyzmWJe3Ecp9
rOVAsIhuFUqj4b1QEXU8GX0Bt2bHIssffOBzJeJfgP+PX4SObP2oPNt7N73EwOd2OjeqcCxYeBOk
bBrgawzZnNLNoWgx98JDEqlwqxkan3iDHEU7HKEAlNSlK2ZIPTrdUrOSZYTGIz86hUnSCdU1j08o
iyJz3zVVrS+YDF1/8CyC2V9DQnKSxueabWv71rNJwwLnnXoCd6pbzxpbYo+DDX0qUBl3m8W2XF+V
ZoTQpaWETQ9rA0pjyonBkKcMmw4WM1p641ceG5U/hM5g8++Qb1BN64W3Ir4bJSt8DZuDUzJcUE8h
4jr12Tza/dJ3ItxroOxu19TxSh6BKlJ6UdaYBKaKtCAAbKAnJppneDZXYFtnRM3bDjoIbBrGbeUl
WHOXsTJLhFkjhT3GlvigVg/b0vMx74k7jHiWpEHEGk+WYVY00wWj0X6crVj3Kpo90sHSLXBWANOT
yErrrfCrE/W1MY/UwFX9ncnIticUtiXbNrSw4t45jGayRvJKQp0IQtpN2XVNfMxl09X3juPGHJeA
1+aCWETqXE54rwESzZeV3lSWtfJirrSoP6HRK/MpJRbV8pBVPW8BW0fwaCtJarGYlZfC+yNeVIY5
IONiW4MOeLYwZi9wMCTGT4WAAWa7aTEKMvaAAkzjxo6sUvoG53QH4BlkHIzSULuJ5T7EbYe4StCi
Xj9hepLP2wkreSvWlZ3QRMfeMfBygcIuJnCvC85jPB7sSBXHaldXbKCntemhvPaDpR9fXGkFTCtq
C+uQ7SjVvBSJ72LKMOMMQLoig+FTGgPYMK/tBMv6mx62CybYnq1efWAaM0W4O9ermKpUtM7V2dLq
c6LcaOIrqvOoO0RQ8rr90CkbZnJaVHcKDHxqAJESzFv7RTO7LQHi+4lnfN/bYkY5llnDpUDbqQaj
UCGFbRl+nhlS5I/5Kqv5DpYM0Qjsvcj1+hZ2NJRfVN2T5kBCSB0PBKjvcAnXAD0+NLCkRm3T0Wg+
+ZFnlm/LQCt1WhbpGQB8c8DTVaAcSYAvW8xWSmNA9hvG6NKS1rh0XBAcetB4C1Vm1yCoU3DjY8zM
o+hMr534VoDZfNVMSAb+RFwtzaUeV7+7YIi9W8+fNsuhdRDjgmR4w6LqC2A+L8wqyj1lYNaKfiY1
HZ72doPKusYBiY303OY7rdy18PQUpovn+RqLhQ8acglFz3dQKMBVqCQ0FdeGTY0Hu4GSlW/2fD6+
MQv7BGjJqTwMvVj8hGC/a+5DrYMRa0/SdhgTxQ1U1YCYEBTFClKSLAyoB3pNKIf8KijY6LbYRuGF
ODVdOb2P1azmU7+ylj7p2cYRmpehshfLwtb5ibNWTddnD8dwb1qbJy3MboYE1ag8g+VqnnDmYoB5
w5dFsAtTQGlwhUFJC8E7auMV0NZQA7WiCK6M6PgZwtWBJxAWBW4zx6oGaqeH4g40CR8V0YRQ5rsK
zEaci8jYgHejmHguHpkiAkzzjmCeNe26XA/9mJTQ+0VJz8EjCFPMvrV9B5AkAd4CsCHjZ6AVa+kl
8YjytUoodtkRGGLTQ+2RwKQefed2hjwU4UDdHMXFCxTWi9WJdQixGXbtNNKySt0A/3DUoSSeqZ/p
sACVI/svo0fY83qU7zCpCseUgBFkEo+PQ57CKDn8FOKnvePkCqkOojhjvxLt96zOe2aUX/eB0Rug
BasFydrLvcN/5XYm82KiZg+j7nnOSFz1NlmXgl5jYNXZLM4h/v5rDKaPzkLxEnVt35lmQ8RzFT3E
018j1380FKJNOGFcg9cNyzsO0KKkf1FC8zF0rodbo8hLxrY4JglAJDGRS4Pd2vxCw/snhlUYGfzI
jgQUFoxgpGEy4WH9DUVfjsfWeT08EI1WAJyCqUIsABNDcDMbQLdosCqPpL0343P6OYXqzCr6I7bR
B2KZxIhmLj3Ntj3STJushKjlEuTBIUW9hvEjZnH8F04Df0am+sAF1YPBowZO8RaGAAO7H5c+t5mS
qHMzh5MJ7qSwf2hQlc5L94s7/Ccky4/uRBX4YThNArqNOTI5RtjObAZgzb+4oD979Q/sM4VEP8MK
QcEcab/U2n90XOW/oIv/2Wt/oIeiTB9aJXO6XRD7kRR6OZS2Cf/ii39gmI2+P3a9jekWGPQGg9Qy
yX0gjz9/oP7snX+gh+bzVI5UlPFWEs/gTJ/yxC9w+v+1Vz//1n/TQQe1CsEOwn0J1hbevKNAyuTa
3//8xf/kCSXhjy8ea791aq7wuBRMBG8GmJJLSbwEyBXiQasSZcHG3kPkRNVfiucLP9oUFVw6Bs8W
ukUcKn2KBm2uKh/w6s8v6Pvm+germ3xY3axaQsBCMtq2XBRAoEW3OAxX8M/74o/xY4TKG3/SRX4X
70pVPVRr+eDjSaP73JS2QK8iiw3SGd/mKUR0czIylGT/fHf//YNWxPzjf/D1116h2ZfF+OHLfzz0
Lf79n/PP/J/v+fEn/rF7768+t+/m4zf98DN43X/93uzz+PmHLzaoy8fl1r7r5e7d2Gb8/vryvT9/
5//rX/7t/furPCzq/fffPr+1ZZeh6dHl1/G3f/3V4e3335ggYXCO5f7vf/8d//qG80X8/tsOuLv+
/Mc/9f7ZjHiR6O8Ri0O4q4CEFhAAdr/9zb2f/ybmf/cFaLkk8IOIBGGEVdAh+bT4/bcg+jvzIeIT
MQs49elZzGt6+/2vyN99n4Uclp9B4PsCJ+X/fnc3/3xW/vmh4I786+u/dba96ctuNL//dl5o//eJ
YhHBb+CCQOkp/ID5HxXsIkBMmGlmthnpeZq9rsvyVATx/It18eOxdP41PI4CFsSCxQGu68OhYWLU
JE52MfDXenqdiMe3QKDhqjiN9bSTqBN3//Yp/MF1fXeJ/PHCeIzOJILgjwAl/WjOIlBqY5qVxxvm
I3Y6QWfWIB4ew0YsExZ2Gcbd5T23rAIfmN9ZRwBV4JRZX7sl9HdkENUFZpThhT9MwQYO3tWFWBp3
iXZiPflzrX4hdP2wtP95h/CRR5RSQRj56N1QMa9e3AzeJVxN2zc3LXVqQBIBsoQJclZ5OU+cBOyc
lLx/0z1Z3+zM3eMiYc5LMcL/Jq2tP3XAC8GsWftvP7+dwX8+JzxG2iBhPs52PJNYFP++YaN2IaoS
S7yxqMUvkeRXz2lJ+zBjxhXHpZoZ+nVf9cdmDOcN8YjcjzKYN3jPfH8mijwFi2yvl7k4woL6QArv
dpYYQyX5ZDEnjZEV+hIi62c35ZjTN33Qf7HSr3ctLLzufn4t33WaHx8NJN8htS8MI47//ngtvFxR
4tuQbpRtitNCNU/dmY6azZDmXDgkCNdpGxK68Xrj3rrY9TkGDR3cuLt2pPs5Ft6tnefxJY6m0Evg
tHRqa48+z369NYZeMg12aMfKKWWNJ69BC5oOIwzmN1pWL4oOBXhQ9FnQMbwawT/oujPjAra+aonb
Q62b+Mpvu+GE4n5VCXTXmGsHGAZti7bDzIsxBviVow9Bn3apFSneeKyRsOJjvn4EGWS9HMH1kkmB
3eioW+KWpAqQGp/14JU9//xefl+4H+4lIyGNQuZjZ0Mf8uO9BHcCwL1Z6MbPw/a6B8yKga4jJx4A
8w79b17l5mu4sYF8DTICTl2rG/ctHhr9BajyeAm9OdJEA1CbQetsmox5A5iLXQcWmZeH6qYHHWo/
TUbOR6na5U1Y599blYMV3Mzes4/oipNaMbVLG1WSZJFkPvHaVtvRxuQXD873HuQ/LpadjwQOjguW
woeL5UTB6ByLAMkt05VsA/S0uLXRQWFbv/EAjW/huxWgDGvWW8zL5RER90C5gb+pvQ8Y7hMAqOVd
O0m+/vxz+IP9lZ832QCfQAxW14dqrZEgxTfU0Q3kBOBn6f4bDD4O0VjPGPtN/19GKt+3Kh6JIBDQ
UnMMWj8UtT3OB8eXM6/nbGJDwNM8r+LqF7Kh81v+cLN/+C0fVmnDqxJDOQy16rAs35ER158W22Hw
HsHfb/vz23d2afj4u4TAGY0TFdEmwYfbh0eyUioY6AbQUXAMvXZ9W+MhPkU6JHfBbLDtIvxD9Anw
1u4GISk6+/kb+IPtVUQMobpgqdAI//vjk9V7jqqhoBQGG2x69N0AQmW+sl+cwsGPFTGga+6jcKCU
YwsPMIL6UEfCutDnS1PFm4nqO2UCCUXAAhfq6XZGXSfK67kLU4gD3sDaTG3ReNer3+QJzhOeVSGA
eWGtAfEv6m8BD7sdk+OY0PnOgEQDuUgBeLeUIDPY4gAoNlgSaDM1rCuG90qW6c9v2cfng3JOIyS/
MlhQn+sqVEj/fiKt0VoPNtZsM+DYSXPM/5N4mWS2xr33i0/nP26bgAwLB58fo4Dx6ceA0mLNwW9E
vNeGNbG8yJfa2zOyTkepu2YbmtzucavFL34pSsGPqzomFJUAyiXsrIyiPPvxEl0w0qD1Xb6ZGvdA
y7rfhJLrnchn9wyOCTonfzZ3mP8fQKp5YaKrtswtwedKgj4+kuKI2idByAzDxDi+MUqd8Twkc5XI
ymmgCElAa37JA/PST/6uJK5PwPYzCeS6QTI0I+ZPbj7QeoqQKWnAOgVQCdIBptLlUoBiRDE4KslC
ttrP6SXv8zmTmpxU4DVbNrsiETkkA6Fqb+1QiKQbpMICultYnWLTP9QRvweqa69XxGur9a0jq7nu
1pZmHaXy2fSevfaGKti6ysgsXys/aSFaSbRhFVIo4ZuLr5vqZVk9HwySEq68YjbTW9AIvYuKSIBW
PYbRy1wGwGRJ+6DUdKP5zuI6y0r6X3OECG4oRoAJKPXtKwMTfk1G8Pa2dKjrTVcKtZ8b2gJD0e1V
NFT1jT/HuQWXAzYNoOThzNU2eAeDi1+2LTPb0pd+lpe1y1PhT9AeuZi1WY5T6hXWJW5TGrhWYtSV
qia+p6rss3EAQg1HHRthVATC2hEwYXSbF9OQsnLZzCHZiH7e9xiEgmQbglD0AEZYssxRBkq/+IZ8
olPt7MMw2fcK1eVjGWDAFa6YIYCM+tQWw4VpZ7M1dpwu8wAco6GqwtupBlclWVTf4rUaNPiwbATZ
YLhtxfo4S8svp5phqqI0qHVWgrtb8zlOfQx2rzW4oDsf/j83I7x7wEjGx2Y1BzKaF/Ibn0axk2tu
YMvE1a1puP/cDap5cmW46yqId7ZlNfMbjLvUrVc3QE1nSQrMoINhgdZmwiBeruNtmC8W6jGotQaM
lh/Ad1I7BcvFK08Ncg9BkHdXo9C6QrZfkVYkIBmUOQy/OVZX+erZTe1msrGIvv3s5b4+9CAGXgWA
47ICn95+rdrxtrDNF4h/li/V+QodAZtC59MNkcjC6R8gkvEhnliuh3y5zD1mdhWp3KH36/4rHAWK
B9Cm/AS0xhIFOAelYaj9C481azaOw5itYm0SjKwpKBCuuKqHfs2IWvwUM47uGwZu89abouWiVbq9
7ih/R4TRSwekWSTgAkG7ogGhPTGo6PaRxHAOGHmDmm6GbM4U64G7CuwtLZ+0Mk8KCrAqGTHk+tL0
/vgokWS7b8XQInRk6Tcq74IUnY856VZjYiZ0vK80+Cja43JDETqT+iTuHiPdeZcl3lUGnz18c93d
YYed9wMo0AeMcSEJijuJBCR3ys30HlJ5xPA2BqIvgHV0JJzTqizwDZ4s7qcZlLhpnrxtDbfS69xg
3A2OE79HSOoXw2l/12gXX2P+qRKswTWLQEg5NC29WRUJb23R4jMJMGLPCuPsRYTBMBbVWGwL4VwK
9jfmLr06sWqC9iyMy0QuBWik+Vp8GsOix5+p9UgIRGu0B314gcP2FpzwBQfEAA6OX1SfDXxoThPm
r1flmjcgOPTuEth7u/HAssiKptrRqHwZitZskaPXZYi9HrCv6qyeIMmZkQtw1deYvCzeHHyFgACI
PIfdAWKfSFZCFHITeIirQpBPvcTbsI0ew3wAOzWUld4URZf5rL72RmLvkDN29NsptSG4aXX1kNd1
hytW9S3EB37aLGXwRta5AdWvQqXP3RrtKhMw6OfWroKHUXytAwCwUJut+2EO7/18TmkXBYm1OVib
YOh3K7yIMKb7AhbdsfBp1kT1F2gqQWLtpmjnVAyqrEfu+1plppiny45OOUQWPbIzKfjLz+Pa+pka
EBj1KtGeTUkB+vF2qaBjSNSqj6M/yjRoQwhRanllV0jPxsD5KWhiK6bhGPIn3qBtCqZZhxwc00Xb
WEQgFbr8AmVHv+urqj72oTfdeH6JgS/pulMBKw9Q0Ex/F8XDbVHDHL1vhPe5jHQPnQaBEySSnR7z
jkebEdSmU5nrMwEKLuQGXNarboIPtJj5iiAoVXyG1BIWV5zYhMU4OXWwDFgXSuwnDJRTNVZoB5uF
Z0b27QEQZYmtn4Jdr2tyifQ9ux0HbN5VqW+1/w1UqbBLYm8xD3xk0IH6hboJXLPcxbLmR4z9lyNb
WXUkUbhsQGLJn7pVLM+ggStobBr/DoykYYdJJM5CDPh2kR7LV+RbrqmKwBefBn5m5xFyKAsBy+BQ
4rgtFkjG6yKbMdy+AbIzbgiu9gSSLj2Ok6GnHCKUTZFP5CEgRXmLILKzw6vjpwg6UAxtKnkJRgf+
z4jpamDVG9iT1UNBW5KWZ7ImHtENbOq+8JYWW+TPgPXK9Hl3gSYLDJLmzOdfWbwcMATYhJ6+UPaa
knLTmri7Ru7ZkGBuzMfUV3G+8Sxnl+EQ93fjWtI35BW0zyzoaAqe3uMCjkvWFwTH3zBOO3rmnCYj
1FA7Eoku8aK4vRjrIcYeFsFdhWFGCsabSZmnh3soWCK4u8DXe9oyRYvDEDK1JRjCJg1A8GyNWjz4
+ag9lc1dHB0qCf1jx8kTj0Z2w/HziZ0977aDQOVyLYe32AT+Bg49kJOCwt/dQ89wBbnGnpnoG1gH
FxKOTDcgb8fZvEx1Jl1RHZDLSB4kODQp1I8QKrPo0ki1mWQOJYTOtzoHEg2AAELQyfPFtYNu+noc
jfyEFjM+S/xKf4uRe1wkzEz6KgpF/sg08+/adiSXwejURSjlfDnPs3lDng6YL8gmLx4ceFE3Hono
OyQ34isvi+6iLstqExT4OT+HaYyOO+0nJYq+bU6rEJrpOVw+B8KwUzuZxQPZp+82WrDuTnWsOxRD
Nb03bo5tUoWeOkqg/YhZVaFKmF+CUJmjJqnAxuZZT3FeT4B/+qSNoWCEd1WEo9IO+UOkfIsPH/Ss
xDiIWRcIDJEvnyOPHJMxCDFKEzSPPRXzswaDEHIS04w6UUWR55vKhkUMUXwlrkB7gYal9lwWohkC
HS336IsccARBx968xIFlO0E9b4HyEIxV51pxKZpB4c0T8ANQz1TgiCpvgIJ58NbrGSwalExQdl2r
pTCX1VTdtfH6JWLVk20juy2g073QEsGa1q7PGOxjQa8t6OtFrfc2XPsN9FxdAgkajK0DBrm70Otw
hogwy24hwVENt6cg1D60/bbYMszQL5AIivBSxL1iYF64bd5izA9F0hanKzgXYQvKD8gP1dGDZPKx
m9ejzd9AqbvjLniAOPyzPxQHvshXWpvnIoiifSu99nYAu3BvSAcqHWnZqZkgQsuavjznf/nQQvTr
Kq5aonTGYOG3bxsPyhzWBKiTOAVTjurx3jN1nUEAGZokUoG9qrtSRslZsfcZbgUcqlEX2Jshp/K2
EfN9PrfhHhke3QvYuGufaEfCPaAl9z5V4LKuLRt2y9xD7akU20NMJqERxLH3Bp7OBPDVzxMZxTk0
CiFiOj2Q3tJR97dcVm4/EV++dP3oJ9q3fAN5ONwSpLgIu1rdxjUAF9gNgE4zmVIdEJThHqGNxqHD
+RQOSSmpSuN+Rc9KMDcAPyYuv+Fnuk0D0aDKhsWLcbDGuoigNDLeRe04OE6VNNcMAuNiEwFq3ehA
tKcpQohQUsYwomiqgu0qQUZsuVEfQvIVgJdvBL/3ZoaGgQE0/ATmd/+Chp0cAVH0O2iHBBa3FTtP
emAt5ust9CPpJNoOfNJy3c7hSD5jDQebJXT5vrZ8vfEmYjczQyh4MlvdH8KOe5ekCOH+T2bw6hvQ
Sq+RmtVtwPGBtB62LTub8zIr4dl1bCX/BHbiRdCa/gv0jeUOPNLiPpq8/n6lILlahVFKCd4cmjoR
3woRkNeCNuLO1kFwGTCSJ3hJ+fW8Fb62si/urWsHij+s/aOuaJBgUi0+YVo0PrAaBuqZHcuv2Fia
q2Jy8yfEfJVVVrK63/pQXLyC/zDgGop6X0g4zDdjKa/8VYIap+F631cqPCiwaq5K/5z74AXyqVQ2
v1bwAsACAvbiwI89tijYnlr4VqzwBxDNDjWPUpthQpolb2exHyYG1TNQhvIayOD0WEdABmdvaS96
MRmEnfZQZhBTMMApq172Heq1Y9yM8bvzh+Cs14E1yv/i7jyWKzfabPtCNxXwZgocb+ndBMEiiwkk
vDdP3+tI6rhqDW5ED3rQd6II/fqLLII4mZ/Ze21yhqt7pIFzEQdiNIy9jVKEoo9ucpc2DGWDIgFW
Xiuv2MXFqF7bNm/ea2Vp+trUWByQW4E7dUVxrp57HQSo4c362oK/hHMgz2lsPJlrpzoe4otwtGKt
I27eDVEzBMLUMSnNcXPHNak2SFGhYXARyzCevflF6EXxLBIBZSnzQBhWS0RzWHSX1J3u3QhdTUAs
Tb+r+BEEop2q+OFfLSccrYzSMp09+IS+qNl1TNKzH0QskxWIB6qQyEix9iIGfNY7nYGpplHf8Z/r
r6yKpvWwDMZVH3JslIKC5xI1YvhEhqfeMRcVzTrS7e4mEbbG5MGM447oO5Ni9y8tY4kCNWjk/MAP
ygi9aiZBU5WbWy71eTu5Tr5LTaGZL3kUtT+DoTJaayaHxcGwcgfZeT/b49Gf0S0HS6S78yqb02a8
EbmFuP4litRnzL/rybbf+nzKoX545kO2mP4uEUk9B/lQdl5Aha9KPu2EyK7pM8drV481R8ECLiOI
0sSPN3mBoKYjooVLe/GqNVbP2Tj9LadMbBZVXqmWwCayYT/VJIul+Lifk8FG1iNwfo21S58mvOln
qfwFIaNhjYdFlPkvG7/Qpq0wW4YzNyyCrHEwT7mbL69GYbU/KA2cs7bY4psfvX7voxGwP+Su7sBV
yDHwT6Emev750paOR5QGso6bC087MQ2TnOdDDrV/MLNkVeNAuCaDr12QfaqPv7Sc7lh7vxTWHKbr
HNyvte5hvffM8ai62IP3NIqiDm4S9XdcZOUqq6zojZUSn6shS2j0kvKxGCLvFDW2TDfCM3+Rcb3+
UxBqdRbLE+aZ25sqNE0xey4LI7CgWIR8SGY3eyKCrtuYWiWPmHv1K7YyweCj6Rs36Iei3czF0u3n
vDbWlUiabp0bZfNqKmfYKa6vF4ymUccJHxNfjoOuPTSLIqSXcmk9jmW346Mqj7XX63fIvoWDibkD
JjIhdhRhN3VREU7THLVY42CtWdOwnJWu0xjQDf8y7NrbM12VR2OYfrf68LtpxbNGCxBkCryEiZp1
5ZWkYlgjR2hpF6SCVlIesL77J6xmyW+UIogm8Q3NYD58boacwhreqAG0prb0m8o1acMFp8hvtPwR
8kvX/GkNe2y/bt+CXDBn7PyHKbZi2LrGgCVzGRJae4d15ozZbraCSkfnBxfDCco5ogVfXuymAZeT
LhgxRFUAzvGQ9kyRezcgsz13nME2P1a0SjqUVIGfmv1x6Opl34wWird6ftf4Kk6AJ8xa0ZiA6O/m
CfSC9KZVMy8fXs8cTm793Hp3G2+8arVrvqFg4ifnGg6YL3Z7dlzlmumS+cLtFFoirm/ZwLN9Efo0
htQyKhiz1FvdZLxxkddHjElYgbu6+p6ziXFb3mNZqeh1xQQIw6zHLgqjYnbDEuUEj1C39y0lrQwq
Lqsx6Cau5C41pq3TLGJbam22yhsHMI3sjerSGqLYaFYDNsk1pBZw0umPFRrhL0YZyl+Nypu0UKhp
T+zbA8EE8R3CyiD3RZvRA/bmOYr6sFO8h7Mzg8PxPABA/MY7NNmGxdLVG3ljY/9YDv7bKEz3JV4c
55DOTRWm3qIzms2nlc3de+iVY569oXduWPz6bdAddcztPA8pDqq1MQ1jSAh3GVi+P56n0UuJJNXE
vPbNmG1dQX917yLx21jDOBwb10++ZANSugIpHZo2a7Q0kcVzDgvjScp+eRBCui/s6wEeuVgAMAD3
tbkmuKaEkKB0c2UVnffiiSRjBpsZKLUw0htzEmGH76q9viBsrfAfhBAPVYgQcyhCCx1t4FtTnmxH
askt17TSUEtqY0jaSRSvCFKVlFsz9szERzEKSkBBeMPcvQTRknR7ttDeEs5tXeWbNnH7B5AK2i6j
vC85Tb16pO0yEolmeRT3STarS43R6ODVebeNyyZbkSTpnCarqHdjquPNqXEsoNCiB2ohXjSRqsBu
lHeItM1nfYqCojE+ktL59DPfDmzYQ/hrnKFeOzEJnquiccJuzs5OH9kYy2PtoSqxR9aF6R3yeczO
SZs+FbGPVzEb4p8a6N6j21jWU5+W0T6hBFmLeniMDFDIWFjGhzEftV2fQWWauElRXhTrVqr+IRKL
fHSWPN+iM3E2Rs6UmYGueR4Lqycrs+o2fVsWAcuQ995rtKMmM0yeUY6UtnG3vcVrhPf5p6Nb+Z4X
+BeVmMKbqjScbIyLWNeDNKnyvWaU2bpuCMFwYwTjGYrXkjfclOvFXOInBOGbhX2sicQa+AhAJYxd
X1abL0eJgfTqYSOyMbtamBEFJ2nB/GlrRVq/KXHD10HVGd7asK81looA4Hc1hI3dgmjClRZjKFZ5
hQ48OwLIAdwg1r4qLkMi+vfct797T8htLyZ9Pxcd/28vc+57rQkxjp6MpduJiv6u7KR1RLh7ZfZb
sju4YbfUfSls7VdcLSNHE+2wMeYT4/xhPjIAe8bUxVhBc0MWD6FBBm4gh77am01ylAW2k66Zsm/I
WEmIKPhjWeRJ1+kqblGAIN10Q0LRIFCe60Dg7rBpgRY72bvGTLhO6SPRC7qCTRalh3u0BTHzDU7W
wMlmNyhNG6c0qdwMKWknbIzhH4XnO8d8SK2VWTo07f20kZy5K82V6bCCkPSrzAvr0aklnGsZGzHY
KmE4G2tW3S6b58pi1lLGB1skqbM1c91+bwZdyM+I/4GPZ1M59L2+/oRHDUrYODBtI25vnfK5rUJ6
6fXieTPQMr9ilNEk830krOgROwv2394v/a3rGXugWCvp1cahto2EBeYwjvNucJfkM3IBldH58ko1
iV6qJ5EsipWjbsb+p0wiDmLdNl1y5mMRHZ2E/iSUMObGd99X6b0vXdvcs85WWTj37EdY0KoTONwl
XNJpQveMZn2GhgMFgPvQ0VghcJ76Th3ggX9Q45CStGdx2nJuEFFKCvESjNjX0YEkjvtO7HH/OZf4
Rf+0RzSW3+cB7ja8PfR1IT4wMoSWjtiaeta7nbK57jONXzXN4EC3GBEndQ+97I1BcbNWxgjHaOrc
g+vYzPCFG6DUtzmtsouj4XRDh3A1lbFv8+oz1qA3sOe62tzvsiyuppDHVnXi0dKxoAaWLOS9TUFy
5o2L36Na1XTEdTC2Uju5s/7dQIdYSdiUu2yoE7ZLcx3kyt8Ouf8xyOHBrqc3K2qnLuCDyyd+Mes9
cQGB9GS3tYqmvPggjUOn4UXPE4aNaNJvIhu9f+DuLrghU6ZkChjImjaATrUTFqLjbBny38uAZrqx
zDa8Id2IegMA4Eb0TOTKoTJx2EpVfjs++nBDnmVfESiQmAypM7u+KAQMWpaeW1NEazhwEBC8mCFF
W0bRG/1Crq1RpdUrFyfxfiDb/SPRFUZI3DjTES2hJsPBThWFb8JauCbIVuS95MiLsaLjFFTS382a
3q80Wh2gvWleXrSssB/r0dcptJifJppgOWKr91YKfUu6JAPjmXM/Ke1mBb5veZtdurY8ZJXFZANT
enJ1mvxtHHXzXi56JDdtZ84flZaku57q+Gz5nQMdcNEZfrHWoyRa7LBUs6+dp0xodeC6PAb0YEJt
81ZGV5PR0Be9KV3IoqJLMsiCQQXPjycpYldfR7aePdPCJau2abYpPu8x17Wj5Qv2Be2QPuddvWv6
atzY+fjStTl2h1I+s0DeVrrn7jJ2Set+gR9GPnYTr+zGZsatBO5ZVoqcK8lzV7oZipGKzoSATcZX
jtb8FEtyqWo3DbDNwgRoVsWYEbQJdQs7pZWGi5cwgSdoIDZMiHUobfAiGhV+yTknjrxEDQMtyk5+
Gb1hV4gaq3GHq6R5g7PLbNWx6r2tjPq7gBmEDsrgBRmTJkoCTI/DY2brxhTWepfu0giEyZ/2Ijf2
8mcy54AU9Azr/BB0wsLfy8WHUzjyPq7TS+f2VBZDlRzYnLByMPJsNzU+uMNG60nisEi1eFimhAwX
Vx9v3mDP2AGcAceAspl1AmiHN8Wp+LUQax0WiGsenSoixbibquRoLxZHmO0Od0Cq/GAw4B9zbohj
lhh4nry6tPaNMVgFnqUxvYzUMYcBnyGEEQhPbNNibBPBXw6oTjMQsHc88lAY/UvaLlB9vMVbJ87Q
bEdPV5R1sA7dimtwjO0tZlZ8Gzj1jDMdXBnEDVvFYVXXy31RfYMeE7+xN4oQQ5M4pbeKd1yM5AG9
Xnkx/aEPS1yWd2pZnB0fJfPOZxz0YsWGu/Z8cgug4BX0e3YXGEtrhHaKzdlSWFzZ5aUndE4WZdlA
7RzV45ETdwoHarlNzym9dcyUvX/Z3DZjdaS/gjmqDhFboFWV+jEee9N56Bc/OYMJtL9033WjgKke
l0eqJnPVWza2zVGAV4z7ccUMyVxpMUSjKhXdW5PE9iMAS9Yxlc6rJPGwjEA3HmykWkHJHuqGY2xX
ikOWAdUArqDWUqYp6QxrPLXzxySv0m0PifG1jjjrSs1koT8WKNuCGUs7gEZxYyJkJAYHlXRh87tl
/AWHy3jHX5ZcZ6OtV6wTRWggVAxK6JGhB58wNEA08qSykmBIcz7GwuPKkeXAb2csa+9TjOIdIMRv
Objm2fbNO14opvVMk+Bxd+ouFnrer3rV3DoHK86ni7+wut5iKm77LShjTrO4aYcdr3VN+WgyMh1z
L4YTk8hnt9Zu8EwtGbRV6UPaCQVPFsnA4p+KQY92tps3X4YcA5OZe+Sa3RWv07wvNHhEoKmGJuxG
hXwm7pLoXjIseuTtSl5T+LhvwJOyleMCiYExIDcQaZarQ6JDWLs9/WU0D6ydM117Q3XZPaeLwWDK
y2vG4Yvu7ePGqENkY/K3LxdvVWGHXuPDmx9rv65ORV7kG26LbO24TXvAJVPRj+IbZ/2i/9kl9+Fk
FvVRKLovQ2bZwZ6lvofbgoicOwSGUwZHs7WG5cKgpdsvcSo+UymdF7Ol0AYFhNxexC1zWDfeTolK
NsjW15kx9d8CWwxZdzfHn2uM5EcAKzlFyzjd8UZmlNRW8w5dUX2Z/g3JGcvl0XWNYQxm+h1MUayP
UTCsmBoH6Bv5Z8qU5Gkm+rgPWW54U6gNXfuoT3l7sdKyti+aVwyHbtYLtEtihLFPr7Wrk5gNOgiX
u9mMAcYJJ9d3vh5n68rp0KjoePNcX7lPsPmNS1zhaDV0l6FNZox8nvnoVbJliUmI3HPc5EhIBBKq
pS3PohTPbiF+m0g7n6AQ1Q9AQqONKKfkVtViubeS5EXD13ede+k+mVM6PIh5wPKt7qHFZBvDUv1b
Wjrtna2b05uI4m6tEKIczRL0R+9G/RvHypuTZuZ5Frf6YMzTi5laxrHIWm2byTi/w0aZhpE9pN/D
ELWbGtJk2ORDQquicTogsNrRGyZgRSqji0PkHzYkl7beDo23vOeybuagmxfjKzdvEIu20sCBUicf
VQLCs4BFt6vxhq1ax8WAXvUgUED+bemlPY4mvGx55TD3cbptY7r9oRojDJ2Orr/ZPn5iBppDlAd1
kuv3DFuT47B05oaZreKrutOmrLR0L3E03FVu3a5z39dXIi68IyRRRLHFz8i8xpm4MzLscFvKaL+5
wdIAu6hYC6NWFbvaYWqMhejdi+NvVEq/PaatoWSLnUT6ZnKRqNWto7ZVXf6GZlsGviO2BTTjIIcg
WaWztYrz4SQbeRrd8mXqOXamhQihjMWQ0GeNvTEsEZCbvW6thsTV99lQPc6tvkMxFLraEO9mVWSh
PSYoENgKYS+dWGR5PeOevIXwaojdotWHzLR2vZpPVs30e9YdNkJ8yV3rTWpjdWRlsXEnsZ3tvvpw
sWpshCvV2XOT9NFg//VkF3SM5ZIwCs9Lfft/llKjbmR1v3bTTn6KOLbOtMDaZoFBtC3apH3+U5z3
tyfjb/39v8wf//rX/8+8ILoJZvofCsWb2+S/OEF2n838WXz+0z/y95/52wfi/gFIViO1z9YpqEAO
/qcP5OYQcQAaaEgL0Rdat5j5v30gpvYHVYUDzAhZt4nKGhXkf/pA3D9wlWi86IaOw4H/8t+wgXCk
/UsCS+mETcK3+S6a5yNy/q9aw1Q3YiOFw8lIV3hXZImju8kZ9G2KhRpMcga+g07K9iT8UJj7NRJB
e0ICoCGF3jWD4e/xqHePvsXXWA2u8l8gMJhvxli4l2XRrOfEjtozh47J2NdUv8pEmBf0SxNclUbu
nBwpJBgCpIW3QtP6TqfF6IO2ZlnkZJrxRLuKtiARefFDA22ccehmT4goRsoyzThwfel3bW2mq34e
ilUXI6WXlSchgkTqJSc+6IDYKXrRqlidFTiuZO40xo1UDUwp/TVcBy9QqtO4ZNE22impqKYydXDs
XhTa0saTXLCavLCVKrZJi3TPguC+Mus+XZveRFXTMdseJtVdekbtKz8CEx6j9mGdoZ0gBVZnFibi
MMFlojmIh4tFZYrnME0fh07rzoxFFkDpTnGpDavdy6zV1xy/w0NWxN0eVR3dZ4ZyJe3tC3EZNK/1
NGxruAfvkK65ggW3mnQNay1gsl+zzGx2NqhnhiMVxIS+Wz6Z7DILTFS1KQFVU23fjvTFzdZR09mH
Bo/Sc5RWP0XRwVUoOqJowylPx3etm+QLBO3xbYaP/eRHffQbOTtnjOUt1cBsGcNCOLMWT/aABpBL
JWyFbhMhK6HGVwm1+OJOH2quR2uTRlZyV3ioixK2eUdfxNMaZ7s3w5Cjj1kBbPBXM+oZpiTChGUl
rIyxKaa94sR4Nf/R5wlf26AbrK9K3YY4URYn5FViHU12/cjSKFtZNYIW5o8/86SK+yXuyoOYHPOc
ZlKuclF0r5MCJ9l6fv/qDip5gT8J6KcWD4ajqqMaRuOHrTxYFU3Bf1L9jdCv5DzdAz77jmPvw7bd
6Fw1Cx6myY2OiDPtVT8Wtgw6VaIcjDoT3L2LOOU8oI5/iEs0gsnSzoepXtwrqqMtcsZniM46DYUr
h9NAWvVng393N7NN2oGJiU/NXKW0ZtnakFO0K0XLZJycB+ce4Fx5HbsRhiTmcHL7Yvs9NhvHW6fL
IN7QpCQvssrSfZGO4wfLX+1zjICLxTEihBKs5xEYQLuCRblKHfs+mfT6AQs2tMA+Gz4V1uEXezLj
bVP25ns1VBIu7ADwYzaha8H4T8yzlUPYQRdeVxfZQnsOLNPC8hBT0SxuU13tKWnvSPyuXiN2Xi1U
Va3fYfWgsdBoATaKVBOESrMKo9zSH5A2gCVKOR2uhmlPID3+5BABXTBo7XRYcHniHpB2zYwIRXlm
8FkHkN6MK+DwFtpgr6+7uAP+MrgoXzxXod9yQG+fUxacwzrKOv13hMH3t+fM4JQcuz5Twk2kXufM
CEIyDLM1nCokokXbNsyxHG18Thpgh1udxUx241ClLknZaL3zWdFbRCbAyNr063jVF4N9Ngq3X5cZ
F2sf1ZyDpdtp9qqyCgAsZMuDvzRdKq7FFd6l83R2J+hvzHfXMhbMu5MzF6vURrYQzIsEZo3sm26o
SRyPTycRFaeOyfebacUSTpGS/f0khuKb0a4zsUORxofF+MkOiqqN3ye0HRbq1BSJjEtvhWg4QzTz
zoYB2leMBONZ1wwbXao+QvkzluIAX8hksynKeS8QwxbbLvdMHallIn7JErUlCtPKfesRi3lrP/OY
GFUohc1yvh3aYwTYM5mQNIWiK6ZNbwxzv/UMbdKCwvDFuxPjxA/oYwXNqd5OANRQR4MHpFlnw8Hw
+TJmqHnXWKvwkKFhn5ewFXCZIeh5cFJwgJePtOPU7SNDJSSxUdP+0sCNKCohx4mP7GeN7rGKNXGE
fgYmEGRus3b7WOKBqvP5UZNppULLSPt3MDcOquOExjMY+9FK1vBcqHsJtrixhuwoDaKMsCBpmmjF
jAxx76wyZ4/rmlagNZPppxFO8coQu6Xsb+cMSpoN7Dmd6uwB5k302o9+e4bB94MIpUH54T9Y06Sx
F7Cl5QZTVjobmCL+obf76WNGOc3gpx+cD6vXUE/KPJ33miNpzhOMB1upD+7DLaXau5NpxDoVnojO
SBV5HsgRpJTrxmUjD622s1g4zs4YZhy+z+wGpiNYX/miWQk73z6zWgS+Gsak0WnG3+xneowa49SR
HoCFI8ZxdhYQ3t2gQ3XbBF3e23shMj73DR+Et8rOnKe5c9IjkF4U/jmuY9IbcIXM2yWKSAJFBv/c
t318TnMbNgfkFTiKhVOoN4Y1/J3dzMsPjgWRiFBmmo6gjf32gP+rfiWNLLf2CZZnJt3wb3AzgdRt
w0ZrUboX/OKEmbFBFVrLX9AeZPZdiwHr6gRG+1KIgU9MhwHrlUK7P3KG6p+a3s2vo+Z5e5ItZubD
7qI4ewvTCke+NGuCcurfff78fUvwGvj21GeIadvivWa7dzRmT3vOi45LDyL4NkoK/0UuEzvjys/u
LXOS7WoEfbOKOzM/w1CK0GBFPFkO3e4KVZD5o89u52UYrBlhOLjdD5GW0D0M+Ox8Rivz0U6Q2wWc
iuIXasgZjS9jPwSOaGUtRBIepYLfd9lnwoqk2ophQOehuhlPokrKpt4quri3DsrUY1loII5iuv9X
rCOMiZp5dB+UqWJ5c4fwJAd44+xUy/TOj3XGXF3kGCROooM+kvsJFlip+H7sYpYGLUyhVTMmK10t
2S9+V6SWLZNXvYxtxy0wMOO3LH15SJv4tp8yy7wJZH3rlVM8cfcC0hvM+VpoL5ViHx0uPTGlAytU
FjIMpDCJJvCBTq40mhmmvSO7VRTbHavnlO8+ukaLBDeNo7fImbJ9zkII82TGU0VhVb307eTcd2Pi
o16AqIe+oGjv9CwHGz9pnKiaZ7UPUG6qhxESDD+zphkb8AAen3hJ6A1qWueEysusQ4sbjjfDnt2d
UL2+0Uu9Zz09pMlaLRp0PVePY4Tujbo6us2sQnqF8bno9IEC+UQOGa7VLk4z8UT8LK1PmjbxhCqr
SnY6G/ZPIoHNL6C8/LWkr7oXn305zzee45VrufLLo57dOVnvvySsMrZgBgWHX2dcUiIOztls467B
cbNs1Qjmn5uWGVru6DkjWkUiEOrp1j9FSJ2PEyQ3n+2126HMSuL2g4U8evisaM2frPLz31GvzIMd
CfmLJcrMiqFlQmVM5iX2TG0/M6Cfg/+RdvCcfHFYlj/dv9kAX//ECfwvAgiYuCT/Xz0jeu3P5p8d
419/4K+G0fP+MDXiN3CAaRwE/2gYPfMPEys2fSGFEBG69v9tGA26TENzaSN1+kbsav9oGK0/bvZQ
D6wk7EOXpvG/0zF6f+aJ/9M0aXBimnhgsKxjw9Psf3WM9eBkbeEj76oi3XpS0lrovdAhgwZtV4Oa
+u1Q5+9xmk8IczzvPUEUd+KK7PFQ8A9rW/i6A8PRSl9VHCdo9RfnrPsFgVzQbDCMtTBmmUk3jvNq
LCPorBEm2yniZVZB2tXFPsWLu5VMyl990yl/Fsqt1xhgJ/oa0+iujiumO81jouq3mgitGmcU14Bx
mOhXH/p2rI9WW5QHihEXiBrqFgl7dVrphjBfhYP+41h1rTqqzEcmm3hW8ZQm0aLt08QSR03xjULb
UsgmYmdwyDvKo+cJv8Q2t4V9dPxy+ABTw6WuBNBZJrUzToWJu4RjZvQ3QLX42maJQMXMFB4smS3G
ty8jth8kgJXowQBe2vCzLrd8CQtYXp+ctFxBaG1KBNas/3IiBByzuRcV8SlB3rMKJjRHbQbSGs6Y
ItIh0FLWM0CrUN5cZTf3PwSRiQeQ4BEs5SQaPyts+GQjoe8mgUPM9SWeUpv4Es3Lq03kWsIBRj6k
9y1ak71Dasymnyn8g4IzGvV1am6q3i1PRDjZe6XrLIFyC7BpzgxgZ/R2kwaT+RN3GYshJ7ZB/BWZ
1eyUwL7J8l1jPDh1Gr9dQHwGc2diqT6IMklJ3oCGQJdebQAhuI92qbkbdhzN99xlKAAUvku0Bsr8
qlI203o3OAdRKXm04xZ7qjcbzyML1TPSM2Wjq9RcsbErTYn1hAItD1ILDXDoKsc+9BJIcJZO/pXU
LoSmdlrI0C6t/MAswSVIT8FBhnB9j6LQPZpKjGvd6e0PungmukQgPFqaBQq9ZPh2n2A+o981bI1U
DnvyL5rjx9fKwY0RuKnXnZEOmye7do29pgs8sihj+n3fLkYeFCOPFPVSmu904av7RPajGaT+MJ2Q
CT7m2hJ9+Eg/DiK1biKt3Dm6Ys52XJ8Gj6nU/UvT86DYiRVeS+gOysWwgCjHfewrwX69bN0F+fl4
k7K3i7lvEdBi08X8sE7moXkQpbPAw1XYShKxwpT8UVV5BLm0zFc1tM2X2qIzavCjaFMvNiwfypU9
W9cONdOE3HyT+wg/osZ6jWJMIb3RbsrSbZwbhPzE5Gn8hqP6pWPhuORO81g31Y+ftKyxTGCoVDhB
VWEwXqzxihqWLS9SCYJHQR4jnygTp8+vEZIqFuSuOzkbZLtpsarz1kOmPTHMKNtlO3EddgEjc5om
EttQqo8cCHlsrvyly0+eazkMCrzhucB5cRYa6UPQk8ttZqGdue+cKKIixAKCjlQT8RhIMXkfpHWk
BYKWTgy8rjL+SgvOxBWnCZALaBydf/CWKY63Zs/DQR+eCcIbvJG/JH/I1tCRyA4ZgjmyDaSrA9U7
em76zTSpB2AK9Z3C1+a16PBW5ra11fC3rC1qqb2OUSIcRk3b5tLivsdcGT27PNrbIhwqSAU2Fzxi
ji0tJkkPxqOs1zgte8xZChgEivNHTzXo+/TaMUFJNMMRfDtac5LS7iLDizbw35MfNvdoLpF5GVmw
dNq8GWeyABJTjFNANcEH3hz6d/am2q5OiQUgkTRNdnOEV6snKghVXesylwP1AmCZjYpfy+bNMlAb
Rc0M1D8CmpdXZbfOrGJ41DK9eRMEBR7cvJ5h4LL+27Y9kjKef3unSN4b0EBZ/S9JT7k2DX+3SPuo
p+l86rQ0e2sM2R7xxuz6JRUgIYZ0r2gTH2aiAa4UY8vVEGm+9YrCvKuLU4U2LR8G7FNdkqwIRxie
IQLclLoj5kj4JTXOu0pctLbQqqPJ23QdsXCdVMwJT1fo6wco1++R73fvsFrSlzrpyzOPOb3P08X6
6OzCSVd1o014pIE/XiX5aicoDFT4hlzYh/adCZ6h88PW9oxzzHB1WY341tfoW47ZvFhhjIKjDsQA
TF2w6KSQ5Fe3jGm2yZZ8eYwo1xpmJTJ99WjV13OF/jOPLfPgUvM6NHZLFbLAUN9ktvV7fej5JeXC
Th4zUg02/e17uwxu7jqIdZtbe7kz0J9/6WM8b51IcvR5uTGHZpEVaGH1qUMcY5IkytrxtqyX2XYY
ue6rpoZSrDskVaXjA53bbeYlZLn1sI/v/WWWpB3GVZhEUfYqin557mCFnhYWuGmAiMQ4oDWuAZ/E
zFelZn63s5auNOLhfhEdXafrpVTVM3kr7PtuBIBi5deNe0LBpc4GjbYXtJytdpx/klCQ8Bqn6qKs
Rl7NqkVJiQRWwswcyUaCQAqHEU2DKdazpCGBF6R3+7FOlqfSoHgLppI4Rq1tnJebAPJ5Ukh4GDEt
2yRq4fHLzLy6fit/u30nN/i0OtpuSuVgbhnpBtboT2vyvIwX1bjjk8tR8xlNbsKhC/OP+MdUA9nK
IKp6dhke/CbCKcXkWaJhjROA8gAx32NlGM6uUbWJTL26adv9zSSBbuIEVIelsoc3P5K/kIXv+Gh5
qJ59hVx6WJAEyl1R64/awu95VuV4mKF00pzXAap+hSFrxPKmqtkge4QPyY5Jjn2cCuU8DkUaBaLt
DZJi/W7vxYqiw17S9lel8gvxm/yiZqPZG5Wwt1ggyHKoG6HQtqkMe74x3suId5qUBK7W3PQ3GIbH
Z0ggxGYvTRmSbAfFx7Wm55QYhpVDlkeQZoUTVm1msc63xZMHdGqyZvRtmuHdI6HIL4BRqPcYUL/q
M6mJA1EJ62ZATUEKzn+wd2a7kSNZtv2V+wGXCdJIGo2vTqfPmsfQCyGFIjjPM7++F1VZNyPzoqq7
gEY30GjUU6FKCsldbrSzz95rp/sxpfAu5Lp1oIPEfZUm0ezAkOXn0IppN7bLyFhHT8VDY8U16zP2
h5VoD4QaIzw2/byjS61+c8mrnyejlD8REWlBDGzSJ/gIc43HfSFq42Mu2L1CCFCC4rOhNaPNPGjx
OYPJS+Npm04/g0AfLwsKXLydco1eKjzOu3acyo98aIQ/ai1cekDze8yi8a2cuUfRXOjunA5C0JI4
1VUfuOtqETOTERDBrdvpkzQaamlVX7M26Q6GXrXb2aDAVbG33aDmpJe6oyNt7scLl854S7OQdZMN
IjsEFcc6+rWFnTfd6058mTuQbzQzVGQOnTBsd3nZrb19Yezcl7QRYoCtdIJqtYaNcaCQQhB4eszx
aRBZn6ci9kiVYvy13Xo5OxLqq0mf4r3SKWb7RrGGck7skCd6F3Fp70CtWD+5ZJX4XDEzPvOQqvfT
iNrqoIfVJ2J03P0albqfA0F5Y7c0PI1afM4PbmY7yP79cqW3GnaUxL7nMjmfEvQSWBFtemmb2OU2
R4PKRrFJmGkJNdpgMza2+YgmFx7yFhNCkbkB7p3kbNqVvOZE6Hy7DvOLDMVAdUJoxq8VX3EROZYy
j3vmct10at3q6rCXM27WDzhXmgufV7vn7kV3SlPPw12q0RgHQkOqK0sz2BhVslgE2HhL34IXM5rt
ZBTZw2JIQbE7SOxvOKjyi9muixcjR181SYhv6X1CB+GymgvCNrK8TUVnS6/N24D0POvgxUtrGE5+
uOjomikOxhc9jYhgVYSS6S21NFY7XDGsvj2WaZZfD8Rhsi0GsysxSIcgHSFjLmBmTL8jdo5PgFLG
B1t4RUtF6nzrse8cFcaifiMlIBGPkrQ0QjRmWY6DTJku3Oup2GplZdQ+7gv1SINchPicIsxM0LSA
NK51ibVNeY+LFaWsmpQNvGugRAfNnlPrHWIkHloi+9tIWdE+W0HGU4ytW4S3orYxVw/hIShKEjVJ
0Hpprh1Zxx2wpV0v0HU2g6zybZaE3YM+NkQJifntAzsDlqxTbYfNba+tI4bj5AdeiMWjnaIouRvy
k5ykXfzUyQZt41A7wK9Dc065cDMir92PrkZba/TiNmPmwdV97IjuYfgOnzSuHRvGwXHXJN0N0zkR
uxFJe3UY5bp2MMlS7BhGPoBRXVI7wTtlr3zomGeDHr51pTiHOqOZ3QL67ihN3S4jMaS0ZGXnpPni
5yPiny2DBSwIixezGDovtXp+TlIwtJCNJHGyZkf/E4VU03s+4GzqowMFL9GW2M7N0jvp7UhSFD+7
vlzx2bOwIwW4e/BNEnudG3gQrjBPCc2A90GlUszcle2FAEH8WseNj2WQMjcCI+YOQ3zKpRRvyX5C
xLqjxMHAbpxR9IxXqVerMNs1Fzn3CR6GjNdXNZmzx8VGFYZpDQdLc4Ln3hD9K34KhPQoyhhYkk7G
56lda0sWMQx3mZ7k+CDCyn1GgJ7eOzMMzi3Yb1Z1eJW40Niv4Vj1od9RT5R4Brzw6aSbRnwvq3DK
fWmasNyBGm94cOgvtKVmD50eVuNGayyp78GGtCcW5h13UIX/UHeG6sWyugeTjcBe79QjrZX2mQOG
Cre4UlBcaHWsIPfXcpQ+Ja9Y1FrXRwQffoi5jwS3U11dU/2kDsxYLBgivcq+zYhyUCbmmqwfYJA3
Plkx1LuKRXSeR8hvk9xPM49qO2aEEzS9nJJFsLlSqAQbRVGTH4McOVPljcBAsej4HGJP+wbCIN7H
rNRpRgHw8aS4uGAFknlGPC0x07+Bbf+zzRj/49Q3LP4IqhasyX/M79z+yKL4VwXujy/6f7YNDNer
xobi/rvW9jd8pyN/oz/VdF3YTgKYoALP9Hd8p/pNARZk57nyOXW5AsX+bttQv1mwPl2QUohnfEfx
r6hwq5z3Z3KZgqrporFL00KGU38Ba8aFTbjaFSvTaT3TyDl2j/26qY8GUD2gvB57DVROYXYQ7aMs
qs4zIIiNXRlhClE+yb7laTO8A0WPj0Hq9j4Sm02aD7WcRhBYPaQZ7iapT/d8+1UAH6tbpPPsBxUC
HyMmzu24uJpfMwfxTLDKW1A0wSNPO3IXtdG+mKgo7yX5sS1SBwZ+yCa3c2nfp2U2nDPDpCnZlOMz
yT/d15OFmDgda1s37cqHsnRfacdBABhD4JJpzVVb08a9XlADPgmBB7utYK7P9QMh08iP2glAW0Wu
rpo0fCB9Vz9YqyuAfE7uhyNrZIXP4UAJbb3vdHcESYmRoBVB9pPyq+KCSy36UBLPNoVA3UePhPKY
9CLf087NYwYPD8fuYDrcvfJJA/0jA+MtTWiwkqiapGKUexmR9WcPXmgJxJ9h/s38sj+QTcIKUWPE
/1YaJEf1oOK2qkKDyryGxbHdDVh7Z/QhAltZe46+HBXml7tigZE1/q8g/x8i+hoSuN4/Ow/OP5r3
7M8mrr99yR+ngYt9xzUQvyGiGtiofj8NLD7ygIx01j+gfL+cWr+fBob4zdEVb6vlmApp3v4D5qt+
Q/DWjdXExfdaFf1/5TQQcv24/6rJO64rOat0oev8OZqS3/VXKB5dqNqYpgaWpKDzZVBy6e9LyUoe
TbS/FAnpFqJe4iwBWhz41HRHNnYpOfPcra4w7XYv1mjpSD1MhK+yali/QjwsjzS80iTsqhSWHIV8
xS7EiX1DdQFY+UHKMb40dl1+txa7P7eQ7ptTr0uiaz1V7cMuJPFCtfESyZRHPgM9Tc9VQvqFoxNL
5VprXNnU9KmBLcRWmUlD8DMzo5rJa5qK86ilzhM+kQQom0FFt73owXlpoQmdVKTLl3oZxUvgCC6t
kTbelEuHR38A9rABEheeBujAq7c9QiZUbNhOwuD+D4+tQAHXoEZsiAhYw0k0Aetv0kKNdpJUbjzo
xdjbuxQxK9vSFEEgLg0NzAYjOxtoUGk0BTeRg2EHOMPSc3XMLQnspB6z8UYiwbcXoExUKAmYtpmH
RM/WP0qMCfSMEzYAdwjT/ayZGy+i1+LW1+O5uZRzotsA31rW05L1UITKkMwPhAdYzQYpVbe7rpuy
zivibvWpuxqLfDlW6fdUox33OMP9Lrdzm/IPUKSnXvW4TW5SamAOvDPWow7CBNUumK+DcnZvBVIw
6WA3aSa/bfXyCWguTd3w0aZgL0Ou1uT4SfdYQzPhnkudu7TW5Xd9Umbs96jgOWuHiZdGAXwgppXI
zO/tVrzUfdy/qNC2ht2I40Bh7sP/Q+zMqc9J3hcPGOxR+xJVc72qOkMbj9bUcZgicE1MEPwLW7vT
h9zve9O8xxVQHmz6F+/a3AJNOCALfzf0iLstXBnywylx4euEEOfZRb3dhr0hf1hFxHo/WOwm9EiN
gI5og8U9WoOWzNvajkWw7YmX8/8z5BtOevJzObcA+IRUwEyezK3KYmUkFvswTxpPJ9pnA33bS4uk
Rz/01PYUIek+On3aU4sAnG6tCt1mA/oO7xgIlv6nNBZgfXyLIiDiVLGaZcs/4ihRdb9jc6aSnU53
911O29NGVHM67tKJX4yQiYuNCTWiQvMV3MvrTKaf/UppOqqc/ogisPtmK7OkhAtMXkFx2zW7/MF1
YxBWTq+oLsF5TzXvprWa5LkCCwPHkn7XvhmRyFlMVGdd1C5/jpJcojMmB73Vk+dCjEB9innxndha
LlQRZec5ohOonkRQe3E6OuPVzMLMuDOauHxuRrR1lJKDQWQJ173ZVcnJgnvyEEaJ32UtAwfV8u1y
zJs1VYpWcMXeh1bYThVIKSERaItnohZXHyZ2posYDAJFWHUQ5zQRpPOzbdHV6dXzPMCLMueJvquh
J6xHBcyQ0B6QJ2n8EWjUwYx9IT/SjBzClv4yADrjTMf8TUwd9uwZfGT6nYtIoG9HFU6YoxB0TXWU
LiIEKax+Xq40TUueu7kjblWbrCp3PToVj2s7Ej32gG7mmN8EbaRgKFFttVNaXb+XU3Vm0wJaBi1z
om12wy3Q9Cq7tzysJPy2m/9rV+6s91Vf+yxFq9tWDB11kTjh/nfb/h/B9RvUfCrBEumfPeCfOtp7
3tPovfj807X/j6/9fftu/KZbrKX5jizN9a8d++9PelbsoKuFTuCRzB438r+btQ183A5cZAUqFnS/
xQ/yx62f/0FJl6mAJ/P6Vf+CW5t7xl+e8wb7f8PAEi1RrF1LX8eCX/ozomBe5Swp9mFi59kee9i4
eLpdasBhHfu9pfj6jkBCuamrVCe7u4BUIoQlxc60aPMebRCONI2Rl6bbkJmzh4NXPeGw3RYDMV7H
Se1tBKX76HTV8BHFfXfEwoU7MOlCLfbcpeDmPih7OULdUSnxq1i/xy5n7gqIE/g32ThmtUU4t+j5
KeTKeE8kRw8dnQetqJofYTPMHh8xENpuvjp4uHZdg2WPL6ECxDav9cKa01ObLrjbW10e+22XKBbm
huu50dJ4NVuzfZSY7meyGmE2dg2KFm3Q2pdzrz/gtIlv0krWe94ZZ5sTq8Gv3I3U2EFz2uou+ANB
/Sc+7yws400kuBkqUq94gyA/5qq2cmLmnMdeZA3wAfgM32FQDLeyrsrbQVnVB5V2NaEi/N2LfMOh
fQUSBG8CTUzLnF2GwTkv9nwXaaQgbau/dYr0SuOd28LDh46CvAW5vDkCpAKWUmoyy2jlzKurSqGe
biPaCx47G1IhzMOBx45hxXeiTM5fTdWVyq0tmWk8sAp0BnD4mZqDzm30AZysKN+xTs8U2jdsjJMJ
2QzKze1CjhgwjtDkY2YRYQMJ1B4mqZGHRcohIoZUs51Vl+ob4RrpUeaTcxjamuBq2A9Pg2lLPE1o
GNi3lqHdmJpx0R2lHUs8Xt9bEvge1EUBWRZH2aYnDPoyZpIUkmCCQXLEpS55RfwAifgzlqSzdf4q
D25UOgWVX6QPdHArb7g45Y1TksIi0ZZ8NFX5DbHWIX2+OHvwW+l9nlrDLYqTfC6BNG0qfIuXIq6d
S5L1IfARGW1xT1wC+KuXgfoz1FxTO7jUse1R8cWdo5HTI7qWUzdrpfxFQ1jDwxX01wp41RXV09SH
Z2BHPMPJjcvMToNSUiNxnjs63oUH1YX++jqeH6hQn46gVY1bYWS95YMjG97Jkownqoctz1zaZD+k
S/c25gHYVKoUD6REzMdWV+zj1ViOZMyT5i2jY67x0oRrrTcAPamvXdR49KARoNTWMhziZ4QEoaED
0fADOop4EqUTXE+Nf6aw5XjLRTynCkbj9oxzLPDqdHIipl80EtL/ZnleQoB2ZjvkJycR0BljHS7r
GleBLCHi6ySyXYz6VnY7Qmy6DNLVb9nCqWkjHHt+cJeSHWjatSzXa6P8rrsivNG7mf25oN15NzQE
s2AF6M0GhA6bBebs3qOjpjT4R4vkRixmcRWwNb5tG2J3XTAVXA6MbEvD43RwnBGIXKeN1Z0iHHbD
nr66RKQrvaHq4Hy0jqJZ2J4xpLpMNBeRBGLnlDj4DCb/M91+0Z46l+7C/nZkvZrlb3aVjRCdabU1
iRI/VYFVup6NfPpoNLn4MMRS7oOx5qYx182DXVTTNrZIj8SZEe+d2OCzNa9JOmogxzsSWNPdbNsj
XKKy6YjSO86WI9UnBXjQar05OOUQIRIH+sFNbRKGdBncGtLNb2PbsZ9rDZ2D3u3yx2hWAA+WqRSH
YFHagzP3ApCZsJ+px9Nsz0AbOHdQrzdx5yRnGxrOlrSW+ZOlHfBFY6ye8XiQf6um5jmO2CCnZop1
IoM97JsQsnaJ5Rp7kaTRTm8jEHQLTheMGwnksVaED5aT0yYRYWbYmGqc2SgU5iXM42U/g5fZQxVV
voFjYBuy5j1CbXJfi7VbrG5Ff1+7TXDLf6WKuBud13gE4JGHDVOJKOprIdv+GmdY8YEJY9hZhsjf
BMjXN1fl+W0vByqpJ4292ZIK/tol5KehMaWnNPwwTQq3BYxzbnk2nkUoOxlBwcGqtyPIlKO1GPlt
VU/Ee9P4u2gmRR9oe6LslzOep1oelG+VudT0QffOPaMCFuppZrnphI81k8GPotXHrWzMad81eMk2
Ti9qw5fzkju4JiKGxsYax502mzIkNmNWl8rROm+x9GTDVphsoWr4ROqiONgJeaGcO75lvuJuONl9
rF0Z5QChUYEHjMOrSWuaA0e1b8yEY/Ikrw80NDZ+1xj0UE0Z2/YG4Ct7CNx62SlFoQOUoQAbRgnS
kycisCJpl1AeS9qY38UIwXVOMN2ipnkjF8bJTCN17anRnFDVdXt8aPBoEd8Wiy/q0d7hzhvuYbTa
zFBh6R4mo5r9HF2DdfHkMqvdswPl7ybv21u95XlW9WZ6CFxRfdQKmt5U8fIU/M0/5mgF/MVW1lXU
VuaWzrdqa7QF1GL67TtzWQ5ymJZ9MYrsFSjPZ8pDi4XpezQ57WHMM59XRTtgz8FSTsLUhq2DcFrS
Rq6Z962d9icrKfUHax6Y0Vk0T8zVxUz2Xdk93aAswLa09xk7HG4COIyu/ZyCRp4MqGHPfD7qi6Oq
/mAutCjnYV9+5l0+HJSonFMnquW9iex0o0fFbcDKbpNhtvDDIQ8eeANyXlMBVb5OG/WuxNz5VltH
11RUsu3OZhAq7WTsK+Lxt5lZ6Jc2jkFODNQyDxQ06p6uDQMN0iJpWTt17J0wfbs/c427f6Bp7g45
xmL5STIHOokaY99QhbT2sohBdFBDfA8zJox9KnKGQzFNPeCMlozdXnOL8p77RVxcZaGmRVstz3Ag
cwx40ZGmWGLcgsmZQtBpak7QUbI7Ekfxj5wTZ95EAMa8bKIuswWN/WTmeeInXHc9lRrGY+sM2Q7I
w9Lx3x1Anni1diBQHIhAse6TOsStqESMQhQLnwm5um/H8Qa6HdkS1oxT0x6bciq3/YRnkEk9JUYG
iwgLReg1LMI/x3iafo4V5Wux3bw5JIpktVLObCssqTANJa6dHl4CdhSvKM3x4pjEbFlKD+fFAm9R
Bkz0ThvlbMd4PLV6b57MWj3iA83PLTAmH8VEbQMM33A3CCZkFR0BdmYXuwiX5DkpCqh/RgBrrBy1
hy7NWcbbhiT6UcgrSdn0pzJrc8dnNNwX0WLyNvT5I0hbeRWbKrzV82jat8vQ7VjaGp6MAPaHiDYX
OrfxBSRipVJZXUZBz8DaZ9YcHAAspI4NTqIPIxkmX2lVcJvHDcrwWDpwIHhwlpSUXyOKpfRpB6YP
2JBmgwzBBTdYQfAgjifwyplZ+9QuaCWso9GB5qxHuwSUS8jtatSwwZfW2VHN4BvNBBN2ksZD0Ln0
C1W6fdUzMB+w5KXgSUbjuWsQz/FBmIdUDuMxzoLy1gFSbWx6HK649elTfbVB8B3qMa3uddPs4H/E
4Q1ZEQwszmI986DL+Pw1iukANqNvwS47QUlRByfoeo4W+JOqoANBtjZ0lLTI97IrdNaPjjgsKTly
t56tnZME+rEYKgPlLHB51MxFsXrIVqxzMV1avbuz9ZZIcqVfUiIavsqaF0r1toQGo+thht1AKSr0
9NJ+wqIE/0U1zTYuGVoqyAheJfTpBAq685ugIIcADnz0YW4Ra+lzDUBH26PO5V023uupLR911Erw
AV3AbzA5myZog3+nKEdYf20O+euchlH71zlNgyBCG1IcHaaxzzaaabMHGei6hY1P8N5OyPgXo/ZU
u2J6xBnhvpICqm5EBJwQz039LYjHxLcGLvjUbYhwj6esepxMd9nptgaY3EnjLQ3L2m2B8STiQxuz
77Z4B3TPtbhKaIGIX4nmaxqXmgIQn+iKfTU4lm8V6VmpWPuOHSHcmlSR3mhJ1h6A6z33dbvSHSrb
D2rXeBV974B3tzsvWUmRDj+7V6S2fW1labrLbEp6tjRzABqMHOeNm3q4J0uXbKDfvgPfuO27/sHi
hrKZye9swfrNAPOi+Q7y54WyjOUSUzbBDVyR4tGNxiUEOESR3MELxBash439KboaZpxmgdny5pxL
4crTLl/QRFmcV7ECStNEcriQKZkhWXPb3QDCkHdl2Q43bbbgrySOEVxBcxY/7F6PP6sACa9ioe2T
dBH35ZLOLvhA4LCBpHQDwp08YwjVDrZIg22bLCVdqqqPFwgz+vRjaKdXahjqXdHb8c5q8mxnk/va
DSGzk6xsc2M2S3wVjLaCCZM3HRRBe1lQ44fWJzET3yxpwRM6KsQpYH69jfUGQ7ZJ7eY9H3T3OLnT
eITcORyX1aFqxHP7s4o6roL0ak+PEcko8L7cF0YwWEXveMrQ0JHXe/bwdeXOvq7fBBy1M09hLuVJ
NbY+L6TYAX0FCqiPUXRjrjd58+tST6TOOBlfN309cSfOB+7/I8XEF3edCdJ1OgCsQ+UGriNiRXjU
btgHGvh/3PYxXweM5mvWkNzMOIzWEcT8mkbI5uXP+Tqi5F/TSrAOLmODLT2XIxivaHZr3+xrDVja
2kXyNfKor/HHcJqiOnS1M4FFkwbWfdv1Z6uCWtuk/OG6a54vtA3nvSowBbqKVgyByeLWmppkD0y3
JUq1zltLvTxUuAe2mVbdazDkDpXGCwbpvLzPe8Pyypib8gqc0jYlV+GTM0E8GSKGNKsJOtyVCYEg
ij7ByineBy8KdeMFW4vtYdgC36NG57nmPQDfuY6MFHdPXvo1R6ZQWFmudCgFDJm4yWHIfk2e8msK
ddeBtDKwbtXrkNqv4yridXjBFXap1lE2XodaTFXOhR9yHXQZeZt1+M3WMViuA7FaR2NbC9W3wgJJ
1mJZkesA3a+j9LIO1eDVir36mrSXdeiO1vHbXQfx+WsmBxJiUsLCoD6sI3u3Du/TOsZjpWCib9bh
Hn+c9n1ZB/6EQzoPcF51Axm5Tf+lDKSrSNCvcoG9CgcUi7vbX7S6279tsv7Pr3WVa6jk1wUXpZe6
y7ZbIr9Za5jlzwdqi2eXIaHW9nOnrFORxseOdJxPmazrC8E9HcqBfatbHftZqOGAk+Le3g/CMb61
YD8Krymd8HPGGnvKM2s+a8pobxVq3isXg/LZVNWFJqHW73V3oR/JHO+bvIMMm2tVynuamMNmdub0
oHcMnfQLJIazlaFGe7nCX+p3Mz8VNiJcPnhASHMvPZUheSdhCizrQZZ+nWnJ1/kG04qzzvo69whY
OJ67Hob//AVb20X//IJ9KYVcpvEJCNgTf90INvj7MTOrfb5xHpZX87V+117r+/G6vSN2Wdxo2b9T
Mvb/1SvyzDN0qswMvLkclc5f/sURgSUHghLsB6kC+mjauPMaK5mv0ymmCYSbdHVu5rqjTihMow/D
XjofQ3D6czFInNNzEwc7Ehcz7yXWw8lfApNnuCgrR98vxNZe2q6Sj5Jq35T9Xgmwi72aYrMIlPUw
1WUNC2B1hBXLdOQmw/m0MmSlo+77aVH7gesnYkOe7DLLqHfzGgNaSzfe5JgEx3YMsiOxCbWHGqo9
EQ9uLj2+yzvIL6CQMnAz54EL8UMEP+kdDHaSbilNGLfJFDfPVmiu51cuspf/Wkl/9Qp9/6W093fv
0H9nuS6Lb5c/1n9szbn5jNvoT6v437/kd4HeQW3XdcvCl4M/8dd4HDq8zn/s9c9QIbdzSPzdmCPQ
7m2bLbmjw2H+UvV/l+gNBzuPMCRfY7gWoe5/KR7nyL9K9ITyUYtNqZsE7XX511b4eJC1sspu2VVZ
yeqqzO2s2IBE168ip+Hx6LREwLBN+y5NK7kvGJcvVEZnu4C57ZwmCbTBSSd7M5hwPoFa4o0WonN6
OLSj0+ypUWmuJiOmD9ot+ZiEHUQBlsJjc6IMun6lcCXbIgRnx9jMokPOU+jQ50PnD6vBsIZNehOD
8O42ddgN7tY2Lfb1eSpI2JagtcaNsJqmOAqVWed4iolF95XV+kFvaldk8rlxUZbCpYxQrvYjaPsG
g+5ouB+xS58q4XJ1hX89PkHzYJdJRKK8KDYWL+ieJGbYbyKwpnyk8b8QSAH9Z/KMG5IieU667Nu4
6PFV3MSPQbMs4FfyAQiGbN6lXKKzJVjzgSyRKxwsu9LjROynQWN/7hBLiwH6H5kWtA1um2OnNdkO
kOfiu7x0Pk68yKOGCN5dEXG2FwI7pqsor5uyswCRRRg2/RRhZXP9KeP7QNnJsTCqzCe4Pr9RhCgv
EfYD5Dtdg+QUy3Qg38cF4JQi/cMr0E0Svm1fRatqb6uz1oXgT3jR8P9kmUH4vZpGzMx55EBgwO97
K7lz3LtDlrlHRTCjxbwf1jepOc00COSifS+daKyPUGD7M0WnzGw6nUk3pQLtBJ8RcNYmbzAYnsfK
oFs+nSuWqZqDyRRAb+jetkMoTE92bJJ2BaG6U8v1wAsqNsPsXFUdsyvP43gnrdbcMlon1yx8BfBL
LXnThl7sghZKa5EALFsXEdl9HbrqiWSk7dudmi5cagZmbSfjrWQLPG+sSdlIN2MzPCgDti86mSle
entEra+MZvQqqGZ3Lu65GymsId/aTVAeetvJDrlr0TE49sP80uki/GBHn9y1cbRWDUXEmjCAz9C3
+JWGXZ8ZJQ/+rOFegqn5PmLjfWCjpB9kGk67Fb2deUE6lIe6csqrTGTdLhweMPv3ELioDdKi53JE
LSxh615DqK2PBEGTbwzw/a1dgi23LeYB1RQ33WRcm/NsbFMeIRgg4KwltcZLppF1gGBc0z2D9X2f
wWvkU03LMdfbZnWOFxr+7Qpr+eL3eCwWD9HW3lp4Nn4wD3/ryJldiH4UV8jQE8SiEYB6sjjkF7A5
4AWhNaNYWrJ8LMWCm6RttQYtPyjO6I0UDFGwheO70WPnroiz9tkgiN95U5Q5V61LwGoSK5LNaCqE
MUeV8mxXOL7ZOIm2P1LIKCH9D6aa32iSic2HFj73trWL8jPDmYwISmJMVkTmhhmcmoGlw3ih222a
jlHC3gAgzsAyAlR+qn83Cc4BOizZ7pMINGPeijWTOvYOrAe4TbHp6cYwP+HsMLZ234EnEBOZi6gk
LcDSPIUswLI92cUYjA0g5CaQQsfusxdEkXHfuw3zLIc906k7Xgzk0msoJcVT1thYshn2WNerbNI/
HSchSTYF2VWzdiFyhQ92Q5fgtMfRYN6UxjR/FG1gfMtg+HrOaglEKKMsqoKXqpKuehxjYbSQHFlV
TfjO6/IzHLrybqHB5gdB3fmQOv3y2YzT4BdC5xsbAc2PfmYu1rSfQpKwj7HGrhqzC9dC+lJLNd2D
RHcG32lhFuycmv/rMWSXue2KJqAYElqFPARiYtbMewTTqyJ3KnHMsaTk/spvxo+Zhgt+RIucKHaJ
ziQbJa1o2yqrkXthF+HgqdZNrybWwDxeQuIvRkTOc2G6wVgSlPvZLdkSuyVvZRbeZG2eXRqFNQaE
8DSt0/VCco8/QNZZ1amX7KLwlsuRZp8pvwoByD3R4BVeutKF0I1OV731bNmk15BvwPc0TmCjWNma
ZwRLtexqh2QQZM2KkvU0LMbcwwM/f9ctStQ2A/P2BwGUlfGZAGHZVA4y3GauIdLupbOYwtfzGTqB
FdsWjvqozO5bxyGnCjbVic5M6VG8lX0fujzByiJmYag3EEmisWTZWVlH5EdrvMqscjwwnfApaLX8
XM5ZfBgDVzHsJ7Cqk5Jjkkm4u3emvtu1WaO/191ybw2sm7BbBf0D8qZVkAJtNX3bkfMCFloMrOPE
ksp36k70bJtWk3xpert3PUuSQT6k3TJEfl9LYnktUOmFMzvpPH0eoY8arv5kG934wDSPbbYc5u6B
i7R7rvkMbyZNWPdGW1svwJ5y7LqFdWpt9Cs7acItjv+rxc0s0PCSbKqy0wtFkyfR8YHdtPROf+ZZ
SeSwN1fSiVhodLqOo7zVvJy3Ek8uWgSkzob2jz3kYHZKZTP3u0qj6PLOJCr1ZEfmsH53XZ1TI5fh
HlyJ+ZRMCecdfoSuOtWlC1Wnwb11w4aefmAN/NtLlbmklqGxU71o6bV5sDUqUBHBA8gVMuK+hmm+
wVfQwtY1yetCYbtpAXp0vhra7FsdpPpNk2CvwcXEoghOyVxwh3ApatGdrP9Wk2u56QVxspLwmemF
od0+tCCA3zFm2kx6fetgSQtDDhrkW+KUGQq5J8gg3PBb16cgAhpzkJU+MplHffujzUgGbvNwpK0q
wGbhHMq5o0ek6U0HbjXZn9aL9IgDWy6G1npJl49XDnjUxQOhLYkG20b1aZD1Tj2nGMpTGwFz8ayx
/q50PTtU9eJ876GiUqc10cnmdXRvUIRuEwypSlZSG2Ku4Tc7QFe29WR4oathKTYA+5OrwSif1Ai6
fZO1cQgKjtnunDctOn4+JD22yeITAwtsujFoXpeiLI9NnfKeD5jy6CaoMEVFek6cFgoxZ0oCNCGT
Kp13MHTq2yReFj7ywTonZ7BhkIfqGihSnzY9mjB4CSyeYgT4xjCzwVKahL6mwHtplgqf+klGP/oM
3A22upVEXfYlBK14KfjTm9gyb5euqWpO5R7Xdd1STeQYpnS3gUhyb6CU8nmgwmBDeVCzb2RHy0Wd
VSDDWcxgM99zIT2keirbTZMkxc6aZYV9cAHMlE6Q3FhaQvQFse/rrcMRGOdpS78s/TZfAiHPfc4T
gLriFCozOHRhVl1KTPGPdaBYi3RBvjUNawL5s1ou2kavP8ImR9Vcosj8PuVkcgJ4YWm5fIsC+WOg
VBIerB7iHhT/xt6ZLMeNpF32VfoFkOZwBxzApheBmDiIDM6kNjBKFDHPM56+DyIHU2ZVdVVufrPf
rHayTFHBiADg7ve799wBshiCCcnU2bU3Hu5aZshBDhs+jSMGqPhG553RNeLVtFiNXqK6NHJGZ6gS
igPxxYIbs9kx7cjqY9hVGSEejzEkD9oi/Ya1Yqr9hQfEdrRKKKvajQic69Krjg3Lhd+xBlxMMUQb
2rrH56CbwISPIGgPbcIuEyLqFVpHZNDcgC/9aLQ503vKrGjEg8E1PrqEMBucMvzShOTyb47JJkHG
aPRb+gyMH41loJxjieLfntzmjieQIGcuVAVoKi0ZE1ajR47fDI01Q+2d0qRoHoRJKckhgD9bbdYG
sK86BkW6aaukMLds0OY3152q78BtuTucrqi9K248NoZ0Npfvnu7bR9ukJKm3lDzlk9mSiHHTaqcq
bPQI/npmnaXhks5BwztYFAAcuXrGaJ9Hov+wwCDFx5V2iq3ZoU1ZlE61lg2NLlDymcjVNmkZdUsh
o2OW5RZCcuuErwgm2p+5VGroiBlfYFeqrqPDxjDfPbftL01C7hAr8zLbkARiCzZ0IfuBnLEJmwMV
oPHOKz/cm9vrOdDNsqmHuTIIywfCO0SFlf/gIZG8J+PofMlckTA4nepix2dGRwsBb5jdnRlhF4yL
INiaQflMeptwfk/oIY5HA+eDQpIFNbZxFYCFyO7HHU9VKnEdQ0ITdLyA1gadqMgPiV0/QY/2PkKv
4tZGDk+/Tb2dXDeVTb2JEwOp3AxtY35j3EQppohC+Iqp3Fcz50ZQGdWulNNVQ735pqaEdu2lyShG
WIpT6ehE+sSNQXu3ZJc2VZlcjE3b+DYPyXcvE9BmXYAYeKyXb4St6AivGAOsHtHkWyXp8KW8Nnzo
czN9lUEuHuIx5PwHwKK+GaoqGA/SLFoGNY7sUp8bC04T5LzCBw/VXEluix2Db5q9iOQBipxpM3iY
KU1b05QLyBN8en5pVaDve8dzroh6Uy1GA1X23EaK4cvC5mLb6GyJfCaG0YdWEK4pLHdhfTj5oaCA
DdJKXkRXYef1J20G0UXGF/Do2QPRsyCvr0PF22BnRAfqkEagJkYW3HmZh0c5YhfnCw04fr05CU/b
ybPCB/qen36SP/6J+LkOi37WPjXGIHQEQkMQoTxcf3/WPiu8JwT9IVzgLlas/Y41kF/XBmqaSpcN
EdjV8/iH4PJPXvGv4yu4sx7hJzILQniOXoWUn8dXruKrJFGzHKAmJnfVuKBhw2zeLoXpXMYL2UCz
mKJ/o/HikvyHt6mUclyPgIVETfzzi6LYlUvgrBOCKMyu2dd0pzAYy60SZJSrpelht84apW6sf/zP
qmw/i2z/938Rpup34yxf7x9Xxz/wjS9BVf1L2yw/+Ycq59muRZbFO0tvLt/ur7bZX6FVUBFWaU39
ZJuV9i/SdQD0c6RzLUfbXPe/22bNXwjFSI9L0HaFrcmz/A3brGP+4x2EGIepV/DPWTbM5T9fWgQQ
EnL583LITQsHaYY3tWBMQO/Nrj3v3oUdIFGd9/QwIWKE6TZ1Bz+cm9AkbsZpmmNiPTyMYvQUlJfO
3neZkX9x18MDHI3uvmQB3BRmOfo4cxdvU60Hjoga8yt+oRw0EscRVnyNgR6T4HSt11NLdT7A2OfD
DJo6B5vsfMhpzgeeZD37WEUHlGk5H4moLOR4NJ2PSohD7KbL8xGqD7Ehrfg+9yg8+ruP6RAk90Nv
10cIlA6Fr1Pxyul+8vw+MPsP3hziudvCYdWh6h8dTgujL42APf1IZ+thhHeU+Mao1/0WpW9729JD
SF9lje09Xtij0DUSxDdxZ2IjTiMss9vQqRYaSVOIPpgXJ4QH0DmBc0zYAYqjRfdmAW/YQrbgaAk3
kupi42sJEMFDXZrj6zIok/cao891K1F5Nw38IOLF0hHL1s3Yn/u5chpNKXcDALKkopAwcdm/ZTId
4V72XfmDMwLEKcsxDFCkVUWbQDzTuAbqaNPZXstmiyIh/JzVlJL1l+PJWIzhLlFN/l3lEXhaQn1h
tpvr0XjlIDYbWzqXgPtb4OFPhrQxP0loKBytW6x1Pv7C7LFU2cDoD5JzQ9JJV6Xf4ib+5LThra5e
lobF6VSw78EFQsRZEZQxAidungqP7iZxwPZSXmt4VyadzXuzYtsim7Y+VbNRnaIBM5nqyvo+Slxx
U0MmNtCJknzcojnB/LUpLxJtN92IIYGzONdU0zAxgRTVdHKnrbVyfAIp0cYYDDYLqZJDh7CxL21z
3kdhOr04czB/EWFBRgYz7PNUlfGL5SUYudXCrtkVrvvKxG95MMtpOhUhm3Orm0DjmN54m5gMYLIU
4C5tSukXmIvIYPxbONPpxQpMBMS27Vy8aYXAUcWvNC6QMmaKp74YeNNWXmZwCVq1PMo88vaF0sXB
FlH+3JhWRTegeiIAmxNZAcbcIofXw7rR5crHPD5vGkAvSKi0UsUR73TshbuN3bi9qoNGbANcdk8V
eBuMIP10qbpCbSJnGXyCTMiVem4838yJ9GxSGYQn0zaXOyUHd0ud4cSE3FGHSiKwbiPmqJ8ubYp3
dG5IiD62+bCE4/LMppkAjbN2co0JMg9z/Kp4zhjuv1iwbJ7Tsus/+4gMjkO/oR7d/mhRtXKbCAwe
fpt2+jTLvH6rKfK9K4Ahv49eALqrlo73IGNMYUUECwi0A26DjcczBahaopLdqGZcmgQB3scFHOim
MlrrSUoISNaQpdtmHPJvE+nzWxeT5deE6fouyjlvbgfdYg10neBIvMi8YBydfTht4M202gpJH5ph
z7eJUyzA80RSfUoY38/rhfCoFmf5jJxxrLbuKLKnBZvP3ZxPJwekOxuSqMsbH3Fw5H1SnUfpj2u+
KaK1BiV3U2FvvSwLblj/+8uZZ8R9gIP6Rx6lhHfxEM4vqVdkHQq6KI9Kr/jQhJ32Z9qUS8I3r2pC
yKnUj5yXTE4mGDIoH7FDxrRh8a4bi7sfXwm1bsDqTwJasMSpy5mnMZGqsdB0JlvltYyZoPCWuc3K
R6D4Vro4JDCnD5uG2SSJRSmwOQdWc4mxkihRk+E+2BYmcO6M/SmArTnq18FxNm7KlJuk0iR8fbeT
7X0oMxTNEnz1hlLR9iHBvrnTmqYvfBX6SuksuA8zy3rDvpZeFivUzRjbB1Hl0zVUZ4hvFWHHO+/M
gStXJNxwpsMFxJMuGCDDjDMN+DimOatrvSLlMoBPMQcBQHOpDXLO+5U+t6wkOuAsy92o23A8SgAd
D4GIs8doCO2vMgFkNwyhc0XqQVCtBeYuZqZ7nUks4nHa50iDPdTqdEXj5cVMfVw52ZdMkoxmFemh
6GUrJ26HJ1xDMIvr2Iaa7dVfuBXkk15BfGENkk92g76cvSB/nyibfTdwvB1q5kLxZlyBfmbXOfup
jOXjYMbublnBf24duVRtNNX3MAjHd69K8AIhrXaun57RgcswNkdN/TQV3We4oFl8Bm3ZwDpkt3Hs
Dfg/A4aKeSttsCG4zcvrZKUVolDziaJQRxtnpRl2K9cwWgmHDE2AHTZiBR/GZwiiW3kY8SMeL5va
PGMSx2EkWrHCE1FGgvtoJSqqM1zRPIMWS3eFLgJGxuqOxoU/CCZjAy7cozC+be6KM7SxXfmNlAqC
ckzxK9IPBBCT6x/WIwIxoN4I/mNkUwiMwTiRH4CQg3ZDMdVIl4lS8ZV3RkhKqmOftJPFz6zZICab
M27SWcmT9DXbVxkMlgOJYe/JiyjCxExDStUtacnxU9mvPVkrzjIe2uKRfh8gl3UH73KB12tdRcWs
Xqhd0Zxn7OYibpkEwDmBlzmsI/OudOT9xDCPoF+UMiOCsGmurM2lXMbTUrT9renx0GUS1XUvgITK
TwjHywtoF33IVnpnu7gZBXhuce8FtXXtNIqB/qxb/dLJFfzZjQptF1S2HeBBrzBmrpTQLKjTl3Il
h7JhAyIaYH6qkZi87Nqbe/fNg1FMsEO/CiurDmCTpq1c0U7U2y9br6msR5CR6QX9EIQrvDN4o1gZ
HFjRwXEgYsYHzMLZWxGK8VmewR2JhOEBKtnbRd0iEHpWxoek/++SkuT+Yl4JILKrNTqQwfRizS0b
CQQVoinD11mu+BAUFu1nSC5v7tyseJEe0kizMkfUr/iRlUQSrEySHjhJs1JKxMorMVX7XqwEk3Hl
n/Yr1cQEb2KtnJORZjZzJZ80VtYcBqsBh+IMLk+sZLDFYTJa0t9lFmYPMZfJSz3BU4mJXxw52JKq
NVfeijyjV/ozhqXsqy7cFUpar17bzd8qx4UmOPNUh7eOuNuw/DDnPS5tFaA3RGx06DDFeMnXTJUg
rZFg0XuwKTGUFT5Ej8HkLFk+D0EiTbS1Pj3Rtg4KyqPReFsyoj0xY33MROjAlLCCxximKpNy9OaL
3hp7oNMlwY8KJNKPys7FY4f/5phkM0tvGTZ71GrLz+JBPY7WRcBHvl8s/nre2l/aXOBPEqO1G3MI
OZMnsL8UUX5BW1/hO/MUnlq3q7aGNm+cPDZvmOMGIM7EeBeAwrhOl8zckwsyIr8zWWOpp5QUejv1
6GyHoJT7PveSGxMn9HVY59iRjRb8K0P2sPvSEBRHuOQ482zTyEiXeVcCn5QIS/qqZoP43IeNdrdq
skJwmgV0Rwpb7ysHE/lW9ewS92ZdZAykDIBNG1t6XJ0N2d0RcfEUOh2V0HY4z4qH2LRc4gOuX1tt
6ifaVudrnTkwdiAsasSk0r7jYcf4B7RX9MYNLAB5jQVbaANFkHumICY3hV8qWgf69feUMDIr91Ly
xj89Iuyk0MaQ2seU/eYFExxaMVGoPWjhTteKIwA7EoWtavEXZJUqeGrCLNv20PMpMzrL78tZiu9W
Vd46C/TMVRDrm1W3NwyrfSjOYn636vrVqvDTR9K/oTjNFLavE4DedfwaE0jn0/TNFmdmrH/rtjp7
A8XGCQ0+4zpIKFAUN31Nz+PWPg8bvPPgAWI7tZcM+zFATxWRA+4I5hTBOrEIzsOLwQkIzqUOlyoz
krqlKCSz4IdUxSwo7l7MF4auVnjo1omIN48MDxIZxk/leWSSn8cnhBesz7bB3E551DpgCUTnIEQ6
tHpuse+30W13Hshk5+EMZKCFRW8d2Uh3vueeGTeMj9uJUSEdsw1Pf8och2PT58XVhL3khceSfa8B
5MOlC7yrYh0ZTXPaYqfNlpdxCR1j40XxhBq5zpma88iJRxLjp/9KJP9JttiBAo/n8P8nkBzKP5mV
/viJX4URB/o2K+2a2vU05rRVS/tVGHHULxp3DRZEsssrOgTJ5HdyiL0ihjR4ECA/joLo8Yc0Yq68
ERsOiVCE/zyN0PI3pJF/EEb4xTg7uRZFLOs5fDUz/ZQnlg4UCDsbx10SchibxmjZBwkNu6bJJtbI
k+nfOOPXfPKfpMzz6/GCtm0JPo+/CItZCCGPWqeRvV6bMEoOP4elSkjb0Q3y03fwTyRMqf7KROFD
RzzCDoi+ZDv2Gg//+b3R80IQn1KLHcpqSiTMtiG0hhHBNimrL2kQDl/6RSWHDG/8Nqwb70Nn5XBq
iyklamExhakNyj+Y3aLtp31rpcCUw+bFQqIZwYIzYdU6NCGeyPbbPGJR9FvTwRWQYIPGH7VkpAtG
Vf4w8E4x0UnNxxwQ0bCHJFSbV53ViFOcyTakr2gJGDE7FnODqKScaAQ967YZZ8fJiH7g1oCFVzj0
9wTZcvJqqbG519jtawqGfCKAiBh6Ma5q4YmB3rweZHEaefwqdAQGL+hieJNkxFSSLFLGAyokVYtX
CP/qoVoULCJm60ZN48sYcsy28E9slDM0n3liNJeoQxdOyPVgYgraGU5xXcz6sbDjtNqyMAeXdNYs
VzFOhNM0ZddTJMlSBQL1LK5ejTwCSCrkXWItmIls53qe+gbuCHGuumqIpXpGc02WNPKB1hFU4GhO
+tfLCD5pEnUxGO+dSTX3JRbt1xjQzSafrHQ71zHnRsdwN9Pg3HR4q/dZizl7lQEUBNudjTEYv8x8
SEO50io2rTTuZ86leMbbjTax6pDWt7ZZ7l1ICIVQJxQv3zQJWYTws0go0cOVwh8Q/R2SPMc2w/09
ZGtiOWrpC7N4calzsR1ccTf2VPb2sCR9swjfQ5l+yQtIW1KH39jBk4lAFdoS+zrEo7gr02brrp9o
SvH2FmbuQ8ec1ReT/LB73ICpc1GXlGxnRCxFNQG5HsPKl6264+CMbyk3PxKd71Uqapau7oBC/ikk
kJ2UkTAD5U/EMU7ayScEm+u8Cy9DUOmEKwIqeqP6gV3IgXk088zhKgrSQ6eM6yhr4h2YCq67yZVM
tAKcgteJskYBridob+sOQ4FRvhZDgtACJ3mjxuxKeNMP3VfJluOp3qf5ugGaGD16oUfGh1nJrldM
BNnsM/n32BD3lnsj5yi8UcH0jVKxlwkHD0aXEVK54iSjA+OR8+71nDjChz1Ih7EBJlw6oG3SoNhM
OgSxmpYH3cjXFO9EFASMhwJeLhvjbwEE7QTvFSNvesxxItHyTS1VLnhpIgfGBbGgYdu0yJ18sZh7
Zw8Zb5w3Rpa1NL1zo4LsXB47o2Uf1jqPo+CdFk5+PRR8D5aoAPKW5e6/i+t/srhCRzUZPf3r2cPV
e1PQt5j+aYH97ad+W17dX2xb0sLFwip/g/H9trxav5AYYA3Alc5CYK/8r9+XV1h8NsN0AeTDxECh
+F+/u4FNjMISMBf/x+IP+m8tr+ty9uflDhygXAcOHEyZXf9luSMXZ1RO5/E0aiEJFfOtxu5OEBRf
GoGwoLsbyvQTXEbzbxY/Rn5/fWW9mpptOpw0OrD8qwuZVjiFqpX1wMC85kdgOURCmNE0MKwGM7yQ
YsGxETvAxJgQG8v91FYU7UBRWm5is60+MXHjgUtnHB8g+JCAS3curxLJEJ6yVhqotthwQGIJsNwn
evrYgfb0nO6VHUg/asDqL3pwLo2w0/sQ4XbBhMf5JKPAmnu4uYW1obfse75jhCm2feruE2oq/c6I
ho1TF/eEvaBahAL0nxRsignYrsmeezWZIPmmaVA3ZmmYpyw00xsHdyQ5qykZb5SbPGJT5fWCeWoP
k9I54f1yR1yIp1nSflm9x5wLF3PxsVnPHI3TmB8eZ7KZeVkP+BkN66lzMMv6bW+GtwzbcekUOfn8
eA544sfsDCpJTlV2drKhwiN8Jgzv3Wub8GewRNU2zMoDAen+DhwQsI6yi17BmCrybfgsVnq6KqkY
IkY1Gm33GUyS1FVRejjywqTzPjoCW2jko4Yz1OAZm8SKNAshc+htUKnovi1rRjd0WqWFn6FVQDom
83lAqo+u2CfRC24bBZUrUN+UYesbeBfWrYiXONrJdLZP7Gsc2IWtuI7bqff7amLpxg1FTxPHe8Yb
NQXHdLSRTGVIXxxKq5+uh8Tt9ngqC3/tyd4ncbdcFdNQPdWF6/R+XbVkWh1ll88E/fF1dwacJCdl
83To3cErT7iR8SJFVgpoMZv7Dod7Uee+1VYeJLayt47Y/mNE/0gsz+T7sJkzL8HeDsPBBElf0TV9
y98bazzGhfnDNtj07YgeFbsB++2JYBNZZIFdgWhWo0GvwHO+6NvBAlJWlMlwCAdRYk9hM36wIgd/
WRlW9rM9Dw72o2TWwZaSuYBCvs51NxrPFfxXp5ovAhoOqGkpbQDefdR9rQvJhZTW4jUUZfQj6Jzq
O59MfN/SDnELQwdedz1nc7GLrT56xYq7+tP7ONzLhPaxDdgh4luy51UWGZlHBYETAwrc9K8jXvtL
vSQMyAKkfCrghoRCwQi8w07Gk9xTxT0/yHJR9wWzFwgJpuwWwJQ1Sscq6nyvcwe/XxKO1d0QmN7X
1i2jFwTCzN1ZblPiWAafTXlqqJ9xobC36XtzWpdpKMRl1z6NoYd2IYtGv9dxUq8GTU7F+IXgg+os
gS5Xm7X5w2hj8yHqqvx5sJPgTk/KeS16FORNhEqKS2hU4jEMwG5t6EHD1NMXVMCXurZ27cwYlLqw
sMpBEOmU6RRuV7WnCg3TtG4yw9zqyZEwQfH97yI48QccrcQUcH2YbCtccZyZ4wwHWNbNPcOOet1x
iOxqQbE2iTEEPEVSLEHAZ7LRuJ2ruYW4nrrpc0JgjKoMXJkCiIQDzUQ0jKY4qOVH9E8EfdNIyJIS
dXQuemz5A6PFHDdSlbjJySCLfyKLYfdUodhO6mOIGO9ixlTPfKX2pqx0vuaTK5pGLGpOQkTBrVVZ
485Wdn4HXiTZLRWKKmODqX5VLasJDzMxv7HP0F95mPONulVB+JBwe2H7tLkZnl8PYYIIzuii2qA+
TNh1xdjhCpv4TY2qOxfZ4HxyEw8xFsZ/4Q8BcyQK+JbhZsSM9JyJhpQCsQnoIhDxZHUU9CC8xV07
AI3uORvthGkU1nacBUW50LxPhu1WTy6oVIimAbZY4DOF9TrmS/VRh0uzdhmsFfSx8Dg6IN2Gi19l
0WJzumjm8IIQPmABR6n0BnlHRKdShGO049SrLstBh9GhzRT1KbPRM5+de5O7qyGBqelwTYx33I1T
4FPn3rSYwIpg3xYtQLwR49/eUngotzCxObMGFFVYzF+ShrwtlkcMehjvUnDewoPuXM5EwGa75a+Y
K1Nxatz+umkhlLudu1x6yVARIHcDukKhaziki6lAbJznPmnyywFv3NWSCB7EAuHpqKOZFTQt+vkl
h/vZ+6EbjzdWl7oAnSFWPy1FCpdwZiBeb5RtOR8Q+vTDlMrV9yoovxupM6+45Zzmc+6H6K7BkRT5
MXUiuwEy7Y2L0WjPG6UCJSzzlwK58zJM3TL2E4dlJ9RZuIbfFopcCogRTt9eOdx6O05rxvvSJTf9
GAWc+sTqGWAj9S0EpH5jBZRe7Xqa1yM/BRVPt15lO+IYYHhgfN+7wbsIZwTaXhOmuy71jD3R1UP0
ItSEzTl36X/gYDC5vV+ZvLcpiOZXtSj9yOO3OjGaoo9LTPNbyfp8remsZSRG8OINRCR+CQiAjsZd
in3Spx6DgabsTfCD7bzi8sFQNV8BbnYnJvfDTTAF8iSc1v6BZGkQp4yXJ5sb6bunjcDyO6FjZkbZ
QVoxVZFu2VEj2YAv/1jigVOSXbeO7XueQTkJX5q8i60ayD+1fhcc1NPsuh4G583uo+hzSYM88s2o
JvpkZqnLB5cAGIs33UR+4gJ841BTO4DRYKYu5Z3VJb7TKCP46QLoy+CR+mbJtmVXGTQE1G3q3IqA
JR9mJoGAC06KNiYK1VjbFo/4dqJzkpsAm93UGlgdpBfclEP5MuRNtCUNAPwyMUs/zqkj3bMxqBe/
7+BLgGC0NJEnRU65nqn58POAARNJI6PaMr89mHkwN7u+MmCz5dL9XstOXRURQTWaAcwQ9CtTp2Nt
GBqnpfkGvrh+SidlfXNT6WVHR3CZ7TwqF+sNaCSWKgsx+tPVBmHruncAyuPFd0FE6BAfw4D5ceOm
YQCBY+oT7k7VM60dRwW10qVUwtyBGk1hXCFelFf9YFkvY1dzRdEXWrARwpftw5o1j01G6Q7gKRgS
GxZ487NJ6cTiOZ2Fr3FDLRxTSGu61XHcwm2b82EXxXOIoB8hZV2nUz5fMnk0vgWwNjgjM4dFoWlc
AXwx7b6qes0kZeRlvoaGLrWv2jl5n0bFU8DD3DluTIpAHgq3sqxjOGBtZKFaxqcxHQWLsYG6fcGg
WmFPwYYW4A1JVmejEupeFNni7jPsMeiySwa/q2eMdtFp6XzkAS7RyQKv71FH3dSV56uOzhx7sKKX
EeTMxjYWdmwwZ81NmrfMisXcgIqlmcr3ioBpN0zU77MZVm+UrOD+KTBpgvJMvMXdhJ2b760YfGUb
MCbqFxp0pyqUt/RUIetoOwJ4NwigETPB8ak4hp49oa8lrnWXEHxnLFK4e9k22W71kLLkDsGJOgCb
6qqe6IaLFcZbpPnClag+RzzLu2aIFXdY6Xgnp29ILUXTSAVvkjn3iznH5U6AIHkwZpNKin7k8+Om
eJ4Y4zAkhudP9rxN5pfActvHFlaXoAvbnqAV6bAlqj1X/afHbvC7RWRFM71f2S+lCsRqlzfdT+W2
Q0PHeRQ9WhUAcUgq0voytmrexNJAWwolVyEe7LGItmY/j5+xQZVftdQ56FweKpuqCKoeis7sULV8
prYGXTfJY28pSLNUXc2XFhcim94sZ4A7s9JSwYE4Q/xERSxjRZ3d5Ozm823KhE1c2HgCdqGp44cq
rY37ks7m3eJQQAROaiECWTewJSTWmdJLFHOcmuEtLZzauEyzgNTgNMfAnJxIe48lYzncxAE24w0L
ZVZvw2aAuVKadcYgZdE4uqmGYYdkQCJ9Gh2rfDK7PN9XBKf0rk8rcTVRPzYwiV+nMyGT4xemoZTq
5kzwf6SQa9DZnIBdUWEAc8IrABx1E46yfBa9yh5HcpkfMg/LI1OmqbogBF+8FpyMS4buDR5mqwzF
nmOsfUstGPQYRfzRo9lKmPB2B7aHHqnThk+ZMMZ2GAMyO9gEcetYZVnfNWcps8u5DMl7onJqsPQI
nqv2Kc8yKGgtJNG5scSjgx93MxrZD9wnSKfpWUZtzpLqkBuka+xVbtXNaN+g4rCFjBCY3Ms4d8Ul
lgouOBow0osusZsThVBYfa3UYsJiEefaDFOF8wolnhBciBJslMmHdtoVWgfx7YpTsn2nkwJLBBUO
Y11e5FIuN1OUPq2ttduOw9cOYNGhaK0Mk4fRbaUZys0IZqHlBriNDVzFMzEZH2gOtW8O248G6Act
Qk6X7uDLcrBY4mQb9VmPaDmKfbqSIClyKu6wFuWnfG7KbWeya2RGNzcBLzNb2XVZmPHOAIJNGRAA
fHrtNYUldksHSnakssr0E/aXxFfHU6Eb8SwKsqM8YGFEExt5KYKhx04t9T0pBOq7q2Te28V0S1iA
9Lq0e30srcm7CJwAsW2sZEhvCazuLcP5+Mo0U2bJTewuO9FkBU2xpXe5DM0INyPwAgoD3OKH2zqH
2hVwSsCsnMJhoIl5KLy3kjKzSyeS6lXWOvxwWUBJAVQczrKSv2L1glBsTO/vjn8xNU4Lmp3jT6qa
2PHCG3sEnyIojg9c4gW0rz+uJr2rLKCkjDB/dXR0NDxVTp1+DXqxYGAUs/EJnLlov6qUYxAbgBh4
cRGgfx9okhpdnqRy2nZnlHLM+O2Dbh/UZzNiZzmcscvJGcFsnnHM2UpmThPXuwOzAK7ZXMnNPRFS
zjhnoDOxyJIgzhn0nK5rZnXGP6szCtod1Zhu2SO1l9X5sdOt3OjujJCezjjp6YyWHs6YafuMnC4T
BbBVlswa/MohA7hRK6G6W1nV1RlbbUkvnbdu63oX3hlsndcjEwR1Bl6PKtM/3BAKdrzysNuxHW/m
ZFocglERG9N+ZWc3Z4y2tRK1kQXKY9crdW+dgdshSC/gWq4etwxnw9mvqhZ0W5w7s41rMeBwnkAT
khhWpLjum6o6Zt3A7qlzI4afpTF13+mwdrvDf/XR/0gfPReZKFTDfy2RfvkRRjQXzH+WSP/4wV9V
Uo8mAhtZQ9umiQB0JiP85s72mDRisKaw5FdEMS/2m0oq9S9Ck+WBKAh+nywAw7zf/dn2L0IKJFS0
TWaRZCv+zhBSqr/kDTjXIsUqgH3aJeHgrADlP43qgqhzbXSLY+MxTOeWXzmCrlp43gFziT6mNMsu
Oz2xQNlKQ5UyZzfc6ZF28n3oBeqpxgtwQTSPvpEKS8dE9Nxgz2aPBKUOuRGpJ691FFimUdzmhsFZ
Q9HbqHwHIBcChWXRWduWJS1KYnbr6loQer9ANKDo1w6jcOcGXfjY2g72hsGAwY9mQkjE7EGI9E7/
WlkTehxPCgAHNP2hiN0LDhIgHMTNPJfUwKcVS2XKXuZ7ndUVJnF457XPmw2vBQ3eFG6x+bymwrbi
YGutleN95h6sJcuP7LoIMsoYaqjtTtvQXtRxjuf4KC0QpoWBqYWw7azvxkh5jzyg3QNplRGacOb5
CdvmjfIgW+FyRn/FPglhUvtyIMb7DGBs7O+h5VbUO7TlvcljlYdkFc85oSBawa+lDOLwcizG4a6G
D0RpeFFaIIroIBgP1NMPmGzG9VDqFfUUblszQFYLDUWacsaRQAeEOa/bcB7Y5h2gF2++bUJXF3em
JQy2TAKn7jFlzBhcRJVrLhzSOp1cki70GHcCjx92PZPcZa+GKHsdsJbYdy7rgqRvkKaOTRZJnpWy
R9fEr9wOoPVxuB6cTkQfoqxCB+p+7pH06c1nOwCXuA1FGO5pTf/0vOmqN8b6JAtXXuPnYMOgCBpR
+zq8OsCseMoHp3FiW6rrEZNVN+XeF9WM25zp450Zp2KvBRCkMguSaVPbgjSeVbQfKh9IlLI7peyJ
DKi5zUqBlUZX7qNN+J/Ns8MRm/155z5kODqvR864voW3exu3HbmjlF7UXnlYcMsiYoCpaN11yPMT
DA53InYv+2aGhoWG/RgUgG6GurQvtU6wN4PGjgtT3IYc1cnttQ8znYF+ZOr21gjNACzlyAmqUz0l
lgT00k1ZRg6T7pz/fiiNMbu2Helu+bea7QxL97qpLaJPZmLFj1yt/VUplJn4QpYzMSgvTi7mEI0X
H3dP2NTUABkxq4bDmN56bjC8Yd0yKPcpA4L1oZxmlJ4RwWuzGOO4bZqIaFXuPE/ANe/quTyUNBPt
cIgiACdD/GFLnKqN61QPeR+2BwciKp97Mh80qIw3x+usi8xY+i9VN/8o+x49scJPvSN02x3T1Rim
G8TL14okw8NYzmbKaT91vlZzZ0INyTVh8WwAETdN/TaWlVqnDf3OHljn2cbXh8VzRr+Z7MzP4XQB
pkM1pHA0O9Isd0nIVvOEyacvOBH6V44sOHjbMDtRa1BfriHIy3qOvNtQ1QHEoCHo/P8ui//Jsqjg
G7BC/Os18Wll/f+fU/P+8aONfqb9//aTv0WWcNKwTgrhsvxBH/yp08dhdKgYn3nWrzNF7De/LYpK
/GKxXuKYUUpKx14X598XRfULMCICcyyZFo8vrf7OoviXJZEklbSZQAqtBYFUU61AtJ+cOV3x/9g7
r+XIkbTJvsq+ANaAQEDdphZMiqSuGxhZLELLAALi6feg5jfbv2t6p3fvdy7apqenmsxMZAj/3I93
gYtqpPc1I6FHLtXTHTMM8tB2kLSfRjBnZxTOpv7XM0VCLfpV/Y1txqKi6o/RIRQkiYzlOx4jRESi
P35yr5YN1EFdd2Uf7pKWas2PQqALM4uwyGIAL6JCMmmH/i2v03qmzbWqlyoA3N1wVwbT3Zt5jUlf
tTbFyU2YdKuJvCDyyhTBRyNFtDZ/e0mz377SgQwoVH921G5lIWsvMVN/+rSZ89gdrtm9IDTwXiyN
glMlghfCXNQMmkLrB7YW4hnEKJJz8ruS0K9DuIDaEv1yiU12Ds0kGwjUZ5lUyZ4ianw69G/O5WcK
mynuSI5CPyTNFFY/dd5a1I4OOPD7zHsNZioEbOylN2ycVrmOHelWa7Kw4bOh0UO32F6q4+SD+yvD
6ZdXEYWGlrwLdSqA04ERHob43o972uvHgvknWJS1YZUvrHWaPXY52wziUUPAXuwwTDwbThucr0ka
V/3iUZZ3ZT1s/LGSaw510SYaMMgMbQM+snZzIk4UKtHVhG94FB+1QS4pCuTZdJinxDgGub/vyzDf
DW2t8XNgAWpsEBvMtWiiRrdUMWE1AeTnbmj75oaCku44Y4BZhbnqdx0x9E3Vyh4WDNZZll+ms0Pi
bTOgR0v6q9t3yLJMkpWFImU7R2ki8hK+B+Xd9v2J9TDZ2wPQ/JkryLp3SnHIaJzYQbSC/lJk7j5Y
Sj7beaIPYaD4E7ok7XHKivJjiaj/VVv0hvacEzae4Rq3iC/l0QK+f53mHAdkCceCTFFP8wILPp2l
QBVspn5+XEQbycg82GQ+V0TCMlJ9gE2k/hS3E587gX3vPcKKcvGWulRuNMVX52E5AYtcO1Slx5yK
oiq7MVEwOY/B2blNRYDCNzX0fkrjRDq2PsVzUTEIcCXvNUZ1hgQzPs5t+7vXVQUxfl0GTa67Tpbq
1wKE0gJecgBJyqUcVhQClOrvxtiRPMkNXBaLfk74TPvMiP3HwjHaBuGKytnmd/ssYA10ZqR0/2K2
qMErtVTVCsyxOxnFEzafqCa305hU2xK6YnMPl8Jbckzo/o1nhNdp8M2j2SEMrt2lJnfmC3XMrIEx
Tmz60UFCGHmq2pbGet/1Kd11fhfw2pNka7Pcmlx4UemXIGoQUX02x0cO6mLhvsh22Pq/W3+ngQLg
qqmbPU3N1gsWp6bfdwQvv0sXAAvDG4FeZKvGNrFITw71wi5Fw6RH5nNGkQ45Dke09rpsllZixuvx
Uy8S7vwJrcXtUl9c8x8bOBilxj31SsPKngpFVbpxh/r05UbZpyriG0un4LspR+5x+K6KpTCZK759
5y4lynjkbpIuIwy+FCwHS9UypA9MciZZOWClFJjQyFy6s7pvUvMrzjjZtFUL9qLLowN29fpSUpay
E7/rnZei56jwkvt4KX9m+u2f+3kU226php5dSqKnpS6acA/N0cW09EHgYf4ufjdLJ4Mg1hH7GOII
cAL2mH/3ULeTY3166ZCcctHnZ1jMd6NXjCVRDKuzmceWyv3VcKbJkxVtCMy3EPj4XhpvqG3bslMK
OpblPJNZ95id6f4BfwWCS5zQJdA5iT5RfPSrthvWD1VJuYvbOtwE+BoumgYyR2YokyDeIiTjKDni
YSjuDZOigrVj95BWQJFdUboy+0kbc0up1JR1xyzCQNEZRX+rhl5l27hqcJUm3UQOTcfrCaM58Cib
seXaCVuD1SL69HWKvFk6/sH2R14YgynM/QCf01EIvO1VfHb4HLH9DfwbRh7gaMhudSjVeojCAyNn
BOPCOXV57F1q4cYQjJxvdqfkFk9Fvc/bJmKqzJOijiRARqq/wZVv4cuZaMgqsmg/npr2C1E9RfTM
WvPGo14ApwdOWGJzC5Ue3o6O6ErRVwYQ2St0AlKPtEH9YozR76fEht7B3TbZO4329aGu3VSSsNL+
bdNlxYvH57TWo9UeJtSrr1678l6NTfg5QYaTj6opWGa7uYw7hkn2Etdo3Tbd4FShfM9ggoN9pZ0v
UQL9Ju3NzzomvuQsRIBcWPrsUaMztuWbMXICXsejQuPCIm57m0FTRrpP4Pw3GOF831oJbm5PQyZk
vAo51GOd8YYR3bKFN6O5C01+ickQGA31Eu2GOalxn3cyvB25KPEvpcrMl5RLcLe1SmltSBxO2ygi
XuERSoRIdU4bdian5dKZJREvIb4E2vxqvPHnxPp+ZH7LUcEU0zGZA5B8YyMOhoFTNSGgvREiv+Ha
Cvuzb+mj0OSVwoiytjmO+JBh5Z9TJ3qJbK5BTTfwAIQDy3NkE1TppMLnZ8zxlYqtaUsweocCsE2o
CNqR1RI3MbQNIMCdBUzCS77wHXbrsNeE6BTEJ7hdYkXAFQqFanAeKII2tUcWgU9o2HIWtDH3YhSg
7eA5zIHBMEGqt/gd8bI0ZXipfA0PRtXPgxOjDFRle+gCbAIcNTwakNpuX+HY2rMCURHv1CgKWUvW
h3vrximle+DCBecjDe6VMfH1LYS8G/nczSEHjyFaPcq9kUFto9ol2rfgfJgXtDZf+EQ6Z44L6j3x
lw81Dhxn16tE3btJHWxTq1P+tirD4T3wzPzqEWTCtJln32p03COcGOto6WB4TWv8WL0YK1r7HLMi
yzz2uKI9M/w26Tg8uM7kw0HKRb1hmw33SLskUqvEIpliBOycGeaakxstIDSR2h9A6BoaeMR4VwQd
GjI91EHC+y3cUxQUeM+0TotTREXIYxRYztn0tfVEYir8lVPVR7d36Rd7GGVJxsJkEQQDC3KKeKtx
hY5psAW4mpz4qijMHNGkubuaiDeFKUir0py1ojQXGbqg7mIdC4omsUTjSM5BbVR8CGVxj6fNeAI0
mx6SWE1nOFfUWJiTfpNOV5z7htQOtlU3voVWT2GUQjg5dbQWBVtAWfNTlk7Trx4XLl9TP8uurRfo
K31GdbPOEtDNHG3pwOFov0tDUtWY58zbMC7LUxxa5n4S0JPZ/LwBgbl1GXdKjGJFgYXFGY3xSQ+F
POgy0Q9GYHecJt3w3laVf8ktH+c4hqs3Ix8QmqKmesMki63VwufQRbetn7o3wseRvW0MR7s8Z7Lg
5B4zUGPFs1YuE15APjbJLa9tufILDjwIECMhJ24Wq14x8ceBDWJuRadNcRsGXrwnMYTrSpccGIup
u7qdMR+9mt+g9Evr2XY1fRCU49hPYTi4jMPoV7fu2SIiuYL+oycWMMxrhYK1hNFWkTYqg51rl/OO
OrXmts9kytwk+EiT2toagot64uPdhibv7pqmRsvpknxruPVC6oT/EuH2m8p94QztsWbQ+86Xdr4a
8CvXTBdLuCX8EN8wxTZdEMFOQYmLW9jRfYVX4Zahlx4/KluMzcM0Jk3+aID88TZdPafUJyG94AoG
GUobabm4UKTQtEZ5TOOxhfna2DtMi6+FHKInskXJ9wxOZx9MblRtYSNE+7411QNKhPXeV4F86kfq
UZjoiOCtn6NghmaZUJGILPk1DohdFDnZH40US46vSRjrDrU7Xk0OqL9au5pPYA4oHmSc21yn1mKt
mBvBAs3Bm1WNIjByACNNb6sWG9Wry8f9AXdBPjuu6bZP1IW5HZWfjbTxuA2i3FoMD7ZRAY2KUX5q
rX1CZVQvF5GHL79npHusLR7CTR8ZYcq5XdFdU0wuvDDy1yfJLNnaVOyH58oi1oxtu6lvI7JL8WYw
bHHBREUvB38hrlzpOsLK3tvv+TzE+5Jk6EuNt+hDcCUi3VU319aRD+THN9GYq02tfP/cTRHtKzyH
kG1c8yOFgvoDpEB6dBMneUlnbbxZdQX8gMIT+e4m03jS3TDtdOBXS9eU+xBJn2k4VS7hQS56Esre
kRN1fIOtYzg0FLceet7CD+1FGqqh4d7LuG53BXEISAQels90Qm6GtETXZ3otpSEvAZoZPSZBZ1p4
HWEPjH5DTszLp/BctXPLiuOFlyj2f/RR/EXQcnzoa3NxrDekgFe2AIimXB18937trWPIqztJOoCR
qYhfWj/oX6lQhSVplN1rmkfUg4yufSn7rDolOCYeMpJmkYyxzhBgvzYcZ++ZV2PFSZL6l7TlzA46
iENJvuZp1kFHKsM0t9bcDS/ZUretjCy+VaGT3ldza2+ntlGYlqy6uxlDiRRnRPXRjYr4QSMAbOw6
qWogbEN9D0oq/wQrIXHLlx3uVRx9eArbO+0M2bHymtfeHJNqQ2xg4ngAw287okGv22ESu6zv5o/Y
zUmuj9AMstzmDNSl4k3HlbhQOZidKTcN3hKvCX+ECWu+wwz7yLaqr1NUTT8SzmK3ZRdh0FRhd+np
QnvsOOVlRFNNuZuN2jjZUtYXzPryWSvWe6+u+h8wNsCNzF3yMblw+nBPcKW24DdefG8xzOqJb1fC
rrKJNY1Oc8Ce4uONRjDnjoUhczfXcXopbR2+5L6jTgBU0xej4rlSZIi5CULj8hkT4oKzrXtCYfQ5
eHrYQM7Nn8apFpfYKMpvOYzEgik6EU8+58lbs2DPW01laH/5UcYNC3G/PZuRwks9h8y4DR40awtU
BEBf12X9a99kXbSpDFm/dmONa8oPRusxcygE8VoowSnwtxGjbd+UAKia8k2pPPwY8NkQuI1YX86E
4937mdXvZQY84N7AHMVlUtBy2+5SbE8fUTdwv4IhY39qt4TWK4p5nXlehV3GgnkSmt5r5SLSOEVX
3USc1JYA/5TyC6W4Iko/3yXak1emB9bWclvnwDup7lpL6cuc6e6jL3p9tnSzpHD8cKuqJD9MvT3t
ZlABN8pnwaiWtFDrmckuygrjSg+YQ+7YDFcWOQ6W+Iq+oKrEUNe44y0o99g5GO7MdB/7wbTqh8h6
gUFbxauadOi3Zt60C1pz2k4ppbFM3ocIvjUog9eMOyTjzYQGeJzvMZYaauaJUYdcqEWsZLHjFMBQ
GDf7uwgS68lLSx6gxJr5HchWXydMKiNCUFS+yKL5VlnSwBPzpvJjBqL2XXEGPcaOwTIUGjO8xqba
ONow9u6YfGYRwpaFCbn3po98xKXTsTWvhw435xCn5nIYe2GRqU5Tqx7NcKDpEwfTGV+4z6dZGase
4jDRqOom6+uQU7p/7RIl70I7LG5M8BVUu0miZ1j0sqPTlZRoy9I9ks/lcTAQ/U5zQaXZJo/tZZsq
diBKmk3g5YSXAsU3jSjX2E/+JYmmeIPo0e6tIDQ/Yx6fz5rp1oz/sSr483lzdmN6hzQ3qJ2LlfOa
Tt79NMfWnr15uGahQc8PKWrcUYYz7HMjoG8QUerOEebdogm9m24o61VRD5aNVZUGE052C8eP9QpY
OgbE9aCcOCLhSnlYn3LxXHnjLNHf5o4YdZy/mHTfuRSHtO4DR4McqgLtmXd0iEL1G6gg68CWMbO2
k42tSPD74cT3ModpTv8gXXjUHRKVS8htnWWLlkhUWYSvTYRrQLW1ek+xe11AxWYkxmI8WEpq58FO
+ubS8NPWVdOE9zHctotZG7BGwqDyzv3S0GZXWUqaelLnujPrcyIT/+paeb0rBww4GxrzyrdJ6e4O
cU0RD7Gp51v5XpFtG20wWZlpOtlGcsKM1cybTpCiniNhfhlzlB11OIePLisTAbheSLajmZH87Ge7
KO2hNDnmfEfLKUADYlN4+tLCv4xZVz/MxkgXV9+Y/CNGdAe3GuaPkUjbqXbq9Nl1GlbBsaKJklEy
nh7EK4DMmKLvuBOIl8X+Wm1MU3Pm8uTBVmxmHcPNCGMK1z0LgKownv1Oq1U6DeQFpyLi08SouE3H
fHzwQpHjYKRFpMvd+mRUwPMmA2ykmXAAMShj3agipYMctyLX9T0Y2uYOy363azNw09gs2Ej5W6Ae
0i9u8AgNOxvShbcp47Se4AeGJA/tmO94hSth7fpTuO+zpiX7hjH9FjiResFRbr34Qxlt8n5KY+jH
7eJKddNk6+UldHu6Heon2OaFuUschVNt9sDT76hsMSt6YWKBJFtXoHIKxI9+FWeR8Qr9Vp18M6bh
RXOIzsghpvoK0bRNzkTak0ewQzhtmRoh9s7M1OmNaJL+O/WKeT/3g/sjE7N79cegsnZemRsQz1PX
pVvIrli30gZvChR5IgPrPvDtK+xnjsgDPSf43P2gfu2hhXxqw5zmNYU0pjyOqg3d04zU/0SVd/nW
2MAWjbRs7kas/lgF8ck+6CmCLiEm4d/XA0KcrRdkbta9O7Co8IEoBn9EpX4YlR3vaujmq8T27JPy
RfGSKojZq9Ifm13vxsRVSgo9jak78i7MW0Vs8dZN6O5cOVVQPXadHjeYY+cn5Evn5AM4urcnF4kh
HaheifqZ/oyusf0vVAOCBhHUUnx4LaMDA5uM3Bge1Bc0ZEyxFJuNb8Rv2SCQUKdLV0hv28cPCY6Z
fhOV+OqyLiyByIQYwNyWFGbujRcQtNN4UGwzBabNuPv041RV65g8qgKnWODqQXVmulzbNmET2sMD
QJvT4m23UWo3zMppsbLJsEDTn8R9LoPuwZ7E/IpwPjwYbl9SKm7h2iql2neqtp9t4gh3dt3JbeLD
LN9Bupk2KnfSO6b7E/fywcfcU2fxezK6+Rkmr75vDUEGoJitWJ4bf2TqYlkLpDTGxnE7JZyyiDUa
+m2aOxf5n8P1LsbiuQeqM96N2CfalSdhKa0z3oiHCoCEsY5wdX2FVoxjPZGW9RiFCL3YesziMU08
iHJGyAWaYhOH7VQR8whiLlJjYTu3bWWpK5xt80qgo7ybDKfEThomzfs8+sktSRWSlbrx3YsJJxsZ
p1RpeUi6xgIDFIhz0kCfXhdNQhmE6tE/wdQV3okYRvgzyYr5A0gTWtlAAx6HMrMZSAXNBF7cyeYa
N+OGfOVp03pd5gk7AarneEfXQvhzMLplgeNL5Fj8nwj5iaNtdfPFFKV3iunO20PoUGfWdjYgFZhf
iqKLeBPA5NgTSjKeXWrnH8ii0coWpc2NHDo6t+y4/1a9TPYuj22zGvygwRqBIfyXm4IPbvN+wx0i
T9cdVXeHUs7eyWHd3mivyh/lqJ2TIci60irWf5XpQoWe3Unu69wsD6mkW2qzYJI/rJqCVrJLXnXl
ioT6XZfqOdO2/0CRVf4TbimlPaLlLy3rkMJo+RYtYZ1WhfTj+AmJtxNtzZj6eQ8fy0F1P9mBCh+e
3BA8GbNlU45QtCLZViq+7wtPXasqc5gesLaUGLylPAdm190Xtpefa4s/BIY2WSyn3r07lqgJGK77
HzOy2rIha3Hxe4qzQ49bySoqh/xKyAF0fxykon7Etj0/jDRh7GMONzfEuNwHhlvlMTct4moCv6XI
Rji+mp6BVlZQxFsLlHxMn0WhJ/fEH4vu+HYbn6NFao2/fYtDTfIbnNYHV2b/tvfm+X4aiy94TJsi
62kTjSvaUtNgurjdVICWxZ2JTZmW2Dh4nPCMb0ENwNF2kS6PUEuWsN4wJttUmO6TjWuOyk6PL89U
dxuZL9m01lDDTnN9ZULTo3AYSRECkEq7H15cufehaUKtl/bYXiUHem4CuWNofO7schpv0inRxIhw
RUTqHbJee8N09SdgKvBGdaecuzgS3mVwK/kwImf8KD1YlavMCmGFRD3jm7jnaRrATbOqhvdVQhks
ZhWyi20vvrExa4PsWgPJyaoU1dXI7i3NFM4wFWuHIwJmFq98tSO2rLgIOLIQxIfSJ4ZkJZm2VNj/
6hfmqd2x4P3dxg3QvTFu/Y3pmfbWn0y/2ps2kfgyjkaGVl1X/HDtUF2YHfZbvD/+N8AodR6MxajM
dv9uejH+2QmnkrHOTB2c+tDhIOulzK3suecGI6x4OCuhkHKKxobjmMbIvbXzUTvw7SG1dwYEH1IA
Eo0kWTnoGJdudFjkAq+px1WnYvqZmfnYgTU8Jd4ov6phGj8Tjq1PzdiDEoD0tKz/uEJv3CD1q9Vs
j+OPJmN+uWJViF6QSDmazEA5WalSFmMNWoY5TNbZbDRZF18GwzQ/c9vxi+1QhwQg24mNayoD9xhi
5D3zooyZR70doTba+jg5XcTOVUaw15VTyw0OfNBzaZhPrw2hCuY2sAyhTLDnlw2g+xBOcIhjFsTm
pvNgH+L/ZPXuBpGdYHyoUzQqinadbPJ+BpT0oeWZJYc64HjsViKpMQ1ZweTc1iQJyQ50dkYpY8wu
tipK0NEr1+3t5iYYR34MxbPRASIandc4XKznXLfMUQS9j6P2xopebMM4IrIX3sahxoH/YeBLtwr7
RDwzs7Xz1cBAFONU6ThfjU7K25oJ6gObF2eXnO1yFTps7cfOLKxs44l5fENvFtsWq89TtNyuCp/6
Iwoaxm4tmQ9uB9zqG+jl5sUPtPjKZLVsYqAijZDekrW0eh3uHFwEa7gBxXkuTAr/8JPdTiYTb9ta
RPICRz5jGrGlxtjim6VBUaTDgzRQRmM1cLtWbz2HcOCCZX70jRI6XWYp8myN/mXVTnrpOU7cimV1
hh3tbzxyLzeGrgUoe/7bnDodMaBemW8mBQC3KoqzS9YOYlvhJfPXzahVsrad7i3u6/mh1bq8qbLG
Z4xuGVuA/MUxtzzzZ15rbxvVfntT9FV8F85N2q7rZEg2PaXkP1Vkx4cIjO6xnSHCcl5HJq4AuO7+
vzfo/8obhHMFQ8v/2Rv0+kt1/2P1CwhH/hdn0L/+3H/ZZU2cr9KHMut5lsTqg9vov+yygHlEYOOK
AQ5s/gUqILz/iQvDA7HiOYFgZfnfUAEBVAA2PvxByE/4aqT4f3EG/RuzhxN+IIhJOgJ4gQuh4C/O
IE8aUZMznt+3kNV2DUb/lQYRswHI4iNYT8f/9vb8nSMIs1P9F4gBHWuWJaTn8Y4EvJC//rxUjCHN
0AHaaKaiPWiTdNEbmwdtgY4fJzSvIpwXuC7/L2I0k2b8koKsR20K8zVric3JBqvo5h9+r4VN9Ofv
BZ7Tl6YjROB4f/iUlhsu7YKFv0dd/9HREbyxaC1debNzEJ08BcGMnxDBcRcmOdm66eK0vfkPPKN/
wyzw3tgWgoUpXDxaf3qluJa64Zj2/r5Gnd8z6QlPPmeWp//8Uv/mE5cSZhIO7cDDXrb88//mBfN4
k1nsU39vV87ByYZXXNS02VAHscL9P/zDG/s3r8mx0Vj4xB0BYO2P56sVrWWOeJn3Qem5O2gu1JX0
YG//82v602XmUrXDNwJ3OWMIJNg/nipBI3szOKG3pwSPlwG/YFXm/VUXyc///IP+5s0jnuFiUuf1
YPX74weRtuMdXR7fMEEBIkdErG1mSmeX93aa/UMJ5t/+MLAVkM4X9Ij5xw8be1JPnpLevrIlNgYg
X6tYs30VM4YtkjuH//zaxPJZ/PEdwLiI40qyIrBO/fFZJZYPz9yLyN8Y4KlaXQU3Ayb1a27F7rGC
rrupEUx3BKVo5K7SamfRLPiJWleuhpJ5EvJvu7fLQm/szA2tlengKHRtAJ0OrcX3nagLcL9xifep
T0v2v4K9fdXWMwF7OtSodOtmpiRO6mrq69yHlqqfh//8Gq2/+Z4vnXDE0RFt//15HAjhD86UePuo
jMUxdQz/OGnHXHvaeTamclenoTqWbfTt2TBrpcjE08AE6B/e6r97XgNWbloiPRNs2x/vdJtSyOSE
ebDP8x55ReIuMd1gRaGh+w8WzH//SYHJxmPjr/dBx/z5mcY1xxnGEf7eozZrPS6UCHLxP6iTEtt/
eGv/Rb7/6wPEZAIGHPw5ScbjTzJ+g6/Z8AQBLsnJbJtpIzm0rPj33JHGq2vwIIime+I2U2zTvmPc
AXyhWXN4rQmOV+NwCEgs7CfPW6ZCveM+9lyCPnBQ+wdGD12+tpt+egxUJ2/QgKpzFhdk3tp4wqpt
9em4y/3AYeRq4QktvP5oBpN/oMjQRb1nAGw0qsEm3oit7bQBk7feJEjsgOIAUt8JmobA1V/6OHXu
SscCoapi5W4jPQpu5H5yF5pF+oGtoDhKXA5bMw/mwxTAUK904x2zpvPeEirZ7gbBC58VniIjZPzt
BK2LnifCi5VOdE139jYP6wJZP2nXeCagSeK1eZKird8E1OkPPzIJ51JATjPJ1HD3rujcphqK1iWw
1ofE7NJHw6ybO98sfIZ2zM4B2Y+MDcfBbt7qUYcXHFLhSwzHdq9pd/wJzYSzeWja7zjZX8tcBHgF
DKr80q4lANjaAEzjDVruwZZGcSi1ZTOxo/PxireX1JZNAPxsSlvdzRr9KOoA1aqmzfa8HHLzmttQ
mFMCqWaq0E66ShZXPpO6mwAFG7cdGOgeR0hIxTjs+mSfN4P+xZGJ9wQl6IZO5YUx3VtYnEJoNI4t
eka9Ur1auM1eHAJzyFhOrRi+tGbwwrFt6pZpTYenq5DHHlzQemhwY7auI0nlu0ROGhPacRLh4l03
M1s/8wJk+lVKmVu/ybRP5iUK2l3p83kLGPxIRoZyPmggIrHGZ8siBEl6K2vHeY9rMZ2hA8p3HIgm
13RSvXc6akxn5euMn+P3psLTEqqRlVNOLaPsYgheGDnQH2Pb2Gm1aaY/GyflNXihwxMf4FV7pD6Y
QC59c/UWWkB4KujDwcblfc8RM7GVSYQ22pgw/9O9L8BXr9Ksn24E2JvT7HZuRThvmPgKQUKKGfLu
BaRxenpsUXy6tqODJS1hbALZNsc2KDx6kLL+oEOTnMFsIKClMgr2FWMmOLxZUWz8MrzN+pF4rF2R
xUO84feNB6wDiIZYo9cFpjhq72Du34ihJcFvNSd8Qi2lN2XxaJcDMkEy7QgBxU8CotuWkTKVePxu
h8Gool3QdMHBd8yCz3cE/OSOPB85g71gFec9rYYVwze0K+9sT80vnCjNNumJtrZgMH4EYcAQQROC
OBoW5mKoAgIItaawwpoZCxn4ZzdNnvHu4+BBZSpx7IwTI7SyRc6SYBxslRQfJj1Yt/RKDQffbsOv
zIa3SDhzGB50amLT4iN+DD2aJtLEyLfDpOO9MbILcxRtf2oGlw8ioMExGIxi36qeiZ2IrJ1vktAu
RLAbNQfEcbbkORRDuh09inBb+phWuj5FTuIzRPWbbl3MAxcFFfnrMA2fMR4h0rZAooxsEmd8s8EH
wrT9LGan2zLEt0k9hxB2sZGEBwJ11SGmVXw7OujaVChFwNYtvSEYpDdIzLQQ1frN91tmCRXISna9
aTX0fQ8xei4vHbWy8DfkMG+oPZSk/Vua5DwDMVJS87YZCw7etjPfKmD5Wzgb86NoPHWp5yz5HIl0
YXwTKYQ9K9k3TTbeK10NwDCN8K1GZ1r12Rw8w+fB0N9SfVGC2LlEQfrW0xa0r1QxLngCUjwIYXlx
xQqVIyQV7nHol8YP2j+jmdBA3vvGrrLd4Vc5lBS8ZTUKJd81w3pjOm1fZK4uQxjjzqEvcT0O5rQW
crJuKJWjoIves3zX5lSWOHk17CpJ5QN+Vy4UuI9XCF76ismuTHathMiUd2gk4P6+R7iDxeA5TxyS
5n3fMHJn7PAyuHitLMt1tsNQWReqVB7qpL2xU5R6zzLQZlnBoXeXH1aF5Q3v9mjDkU8WFmojQU4p
D8hFMsvtKAaEiH6wb5uhD6+lGRZbD3zKGbDCRVZ4AQLfwFJlu+NuGPrmB+FoH940PA93mu+ZrAE4
GzBAr1wsP2+lx0yMLs5ph+8hszFEMpBeg4ccOFZNZf3MuWx8EGViHwAZhvs2GfK1xWJzi2hfU8hq
BI8xr/e9DQbdAl/MW94N2EMjy3mDX9XK+8rb4DsNza0ztZnewoSuIK4Es3efE33Ess7i9arjVn0K
gwk/BvGgJbnFkMTfuSXJx07N3xPO61VE2/Fq8PoP5srVkX/dvOr8Ue1S2co1IZpmo6b8ytq/MVl8
bvkSkpxKF2qjHWTvwiQNhU8a8b6fZ4aCi5E0j+JdkuBiBJvH13hoz+0cEkrP5YsWCfP5wHimYoG0
C5v8vYvvYqewR2TMdy0MlaE78ORmKl/PnmwehWs+eolqDlVNK0CAx/HQKQaw46TkoWh60C9hGrPK
9yWudIeHQjeCyXqVu9AikW+ADBH6r3GfTl0h7kmGJ5vSjMt3qP5q20hnS3tQeoZPYABvCapvNiSE
ZGTww+ya+jmicrxcJ6Mz/Grz2ZGrihT+Jm0VfdFzYHJmdKYd3ajVAT9zcYSr8V0JUZ1gVFuPthU0
O6wK9/RhZ6dpdhzIETYym2UZ+kVnWfTtzFm7jfls7hp02qPnNOHOKIP2Ojt5tFNF+NUGTX9rlUa0
yxOciq6fYmnP0j47jNoc90OKA7kPmxQrl/nQzNJfKzsWu9nX426Gmon0L6PylALwBvQjzJ1l990K
K+e8q8YkO8spYWTUUc8zrJklD/jCiMyIUeTnsBRZtys73pHATfN9WAbWUSLOr+rYPWeyf5vasbqM
1Xg75pX6orKmv2lqm5yolY9MacVtb1dqG4RKfdjKdbBxNvpYOLBbK+OFcA0+fUgneH7LsDxVYZFu
45qwadS7xfOoxu6WJALaNZvgARjKqZyK9lnWsb8qsdVvmkC3X035vyg7893IkXw7v4pfgGOuESRg
XMCZzD1TqV2q+odQSSruZDC48+n9Zft6MN1jz1wDM4PuKZVSyiQZv+Wc74wLJzdFAeNUcEqM3MZQ
2Tyb81rEdwQHxg+Qs6o1m0twcaVt3MygRR0yyBjuGZO/qRl+f23058Qe8APO46Ym2IDAS9hmRT8B
e2AhBsdu2aG+QmrKarZlj3OxF5YGdpqmDxT2nsYqEoXAIFS8qhzfRtZevQI4T7dKwrEjT7kS6b4f
re7AfppdHps41AQSwTDSEM6+yd13qYfy26jQgiDtrz25ncU8Y5tShn8MapxHNpCnPXSPYcIT0PTw
3mihQnKf1Y5SPt/4MQpqkWTRLmFfvXN4/ZUuvc+u8aJ3WZK3qUzu5nEWaAaXPfqbl7lr/VU7oIsz
+lc/sweyiQhWGPSPoMPI6yTGp5/Wr7aTX6pUPMUDJ1RaWle29N9x/q1Hf9ghbuxhMsTPnejJhm8U
ugN5Tj2YW/bSrwvZt+dCG2fNFYRGNSBbcnRYoUwy28bI/DmlEJyqYeeIpnxbnC9GccXWB9+7tkYC
RnFWo2PxZoMPsE2f+5ocV8AoL3rxX0WT8d/mI1fRz6n2zgnJTK7tdSfytlkQFpq1bpm8JHaw98ry
efSzH5XdHFjeFmvSL+7IpOFntweow2pg78bufNVlUIRso89Cl1iOVdLYGJfGZjuK4jHjrjqw7oBO
ZJKIM4eG33gkeaDqagZQZVkS7Qn9G65VEHsQ6mT73REFz9DMOyCdKY+Q38V2iEZCy8boF2p+GnPa
/eeuQZl7a/K5ZYE7fiaLpbYlgLM4Kr0tvMjiOOcFOsFoTG6llGjQRCBtSQq/xx9SZaFvoSYIqupi
u2w02mqiVlERnKJyRGUe0yK0Y5rT1RvUMPzCmY0pZ7J7TEGuS6RjzedN30o0mCGffEHmkDNC7rX1
z6FctkRIdCu89UClyRpZeRHPfBVT0DvBI5FlFyeL3rq5uisR/6yqic89NpTJ4rLQpLEsikO/ejE7
ko415nJ8dOo9s4Y6xGEAbK7+JQ33TRQgmhbNmT2rlg9N56/Kdvr7uRjK14lh6Gr2vGKvUYWRPGbX
G5IrCElq2uwjHQAmJ26Cj5GByFFWtw2WbIyQOIdbiJn+SdjPsHOF4Dc1kQBjRL56VjOT++Kg73Wg
css5ca5sJqnuhFNsZ5QhW4NtBzQh81LRs2wz+h9c8xHFEaZBz9b3uqPB8JTfvCfK8HZVEvU7RixP
DSlYWOKw1QzxHda17to2BhJKnh0bF4T3pQ5scmuyib45RVR/t9jY/jQxNVsTmSTVv35zciQXPXb9
rZ1qkJgRoGo5iunZNjCvywp35qjRH8RsRz8nfqmj1LIIxcRHalu92tuJ0e84b8071SQYbLCnHctm
T256thEVSk1zbgoYM312ycnye22tWrz6k/cNWMjGtVGBYiwc8w2LW7evrMx4UmrQv0au7ftOIw7A
IgM7xHGMneqSYTeVU7IekePceeTdb1zGOCECYrkym1TDEqOar6j7WvkCsBMKWEw2honxG3gnM751
4ZDzsSKhqD+0JaAkFOs/5oZSEf1q/hnFCeDNxprh0FIKdTe5U4B4jFl1Rq2UmbgZGvKoMth8R6W7
+Ue/sDJFQ7YpuH236Kr7A4Q1ZzNmCHUImJruU7bHVIu5OkqZDCHeq4eEQdR6KPnElzkI9vbgWduJ
WQq5d2O/q8GpXdxJ60NmFpsqGKdtwI1OL4XcE3PKgAhcU1eyML4EY0+BW4FA93JrRP9ACqkCiYOO
Dq5eWXTeideZNz0xq7vFs4c9Llv/SHJ1xMylZteaUs3TgD3BjXV+5hWibjF1X6D3xnfS49k0L8Wl
mZLorUiXL9px/RiMTYH2URtIQgAwbq1cDydisl9s23vjZdtjpQPScnpwnQnlcEus+FpHjNxsPBct
H5RO7mzTYDZUoTvflL3JLKg0LKaOqQCMWHH51LXaekkdxVuaPveN+BOU47JWbzDE4yMU7w4wa485
FZ8YyLUMLASziuoFv34AYDNRH3DknMd0SM17u2mcTTLTGiJ1S/U96LpfELuCR+ZxYg37jlUorG8s
QQvijECyiFe9POdtpc8IQ/ONCOD6DxMaHtVEAndEXe4MtLNrROfVypFWepwTVDUrDxHByrduSY7V
8nNsXXMfA8N5T2qQEEWWaSYc4hebVFhO8CzWLAjiDetbdS0c8HX5QJgh60mAiYGTHbj8HgJXKIs4
5rjZT+z/zvFQYR+u6/SEiZnod4iTajkVU19IhAfO8DBnpvs1ZGNjHw2kJLthxGy2dsQi3zFSm+Rd
j3LyNrpP0t84GrRcO2rO1DmJu/l5KTELElQMU2Pjg+RxQzfXxfsovB6OFPoCAl+WZ9OOkaUMBafj
nLshW5OnTPQ8MwOdf5ZRk2zR+U8h0EeQE5VoyatS3kuUV6e8G+BUWvoIrxYeG+HPXIYk0F8qXeI4
IueF30IuLdo4lt8rFr31Ky+kX8qiqt/z27PTqss7ktTzbVYpCfUksLbYrIgFgzFc/VC1co6dV9qk
RGBtDF1wx3vLi4aXsZmXpzwamuc0d9yLWQbmZjTAbZlgUFazkTFlbwtV7C0VTJqXTvuwWSLSULrZ
4pl48wetsPT6N1YuLuxYjsYmRSQJDeOW/1h0ON4bGTNLn5uc0IWcwwDjR2+QCNO0BQvrUX0gWLe9
22eSP0ueP3d96fffmuAtAGQ0k7uet9o/c36Tj5Xa+jEC1mVa+aPwg3IXDMm09phfrlRgEjPt9fdu
jKSFSc5w46yKFQaHOwbuuMIjMgKHiAcve4QtGlo2/3BkdnLAWJeC4e+Fu0ZSiH2S0DIFFIsIRg8t
Ewz79lVC703CJHcMGgTwlYJWah8MSCvInew2Y4B8Ty5d/0hLGXH/l9kOvJYgXlTxU4GsBoVHdeP1
08awcnPH6ONrabHwAX1eVvUyvvZzsm/GDtVNBRgO3Id539pVu3FIiF1VvZHj40QnWnVVsYYM1pDf
nmIdqvoN8sxj5OKuXnO1APtlKgyfJuovss3sXxPBn1FYZmUJbs6c5a7TJnDdyFTdyZW630npGVg1
CWz7QvwQ7HD4qjfGH+qh8tvuMR797t0P/OzKO09fzOhuaw1aXqnlxpvx2d+W3H2hOdjfXRLrfbBY
09VbYhBteOOiX8xgqfCZl6tT5cSYoV2eeZB/WinlFieZkW/GuAE0kNdB1/3OXROCMt7YBZDwOLF2
LD0Czleto4IXztLeuzGRmWZ5c08bnJN5uRy6YFY1RbfJStXvbvFpsrx0Xp695GKINlbiN+c2hsRF
WBgblwiM5azUekIGtymSmu/ej+2jBy96B57AvDIWkXzrNmB80TLR8yRSrW1ALQs/eGrs4qpyHtOJ
TY4ZO8t1pasQ6cpwjYoiJP2tRdGfbeiAorXS6ne/6Jeqm4KXahrBcxKNm0l0X20ZSmt5L6vpbWlv
pNCOIHEcFKBpbsRP1cXrek7TY1wzE2Khc4iL1HhtRyMNg5TZJWN3rF3Jkh4VvNOyTFxAA3RdTexl
eyD/NLODSxZMC0L+QAU7oM7WpVi2ZsepCPzRVy2jnRF9o77Bol18xginDaRT5FWaxl0NGbLemgRz
guCWgCkRrHonir76YGei3iC3V09imEuAl50gs4PYMLbUDDxEtFp6u7tvHYytPMAc8WzGqtnrPKaJ
1HQrRFHfgiExOZEROZvztM39Vq+amLGmOUrxzu+1YDYtQSU0PSB0ZxmQQ9GxFGjHYgw11tI4X7Pd
UPRiXAlCxI9wMpgsqhd/vj0skQAyQs5vyZeuuIVgjtgUd9kf0Zgl85I3FFLyvZsTeWYjVV/w/8pH
Fp/yIGzHeTE9EADArP8AYxruiKaWVJQfw+zXN4tPWR1QCHcm1zagdab9DO16r+TeygaMFaFhudY3
uiznBZWx+RrdAkDzP7JAu6AtrzjykT1rDPHkgwRu/oXD0DxEE7Jak83IU/pHwmieEDbqs6j4OUtX
XhGWF78KuURMTOP42k+1i07HQW3b9nH5kXnBclSle1PfjgFjiAKOuon2VENDxeX1FOD0ggl/y0Zt
kVntR90NRJj5ibjP/0hR9Zs2JsjXZbabGFs7idJXE6DW77qCcckSKXor47L+YXDvb4yWdz7j7cyx
GMlbJEO6vIHsTd4rbMawidKo+2FrQ3wwBXZ/Fu3crgeix7fRTTPttpTwi4O+p+ISOSrDdTlS6mwD
H2/6bS/+CO136teV6bqrFo12SR5v5bwaiJcOzmTOFz2OwY8MPdPalJBfYY2l8CyxkbLH6NRW1Tr6
WBiycAPURfPDrzrSdai1KaoXsv5yCkAkcWWbbOPBe+bwqr6Hqq/v8eaYO5YNBhoyT+MiSymCrNz4
mTLuQYiPjILZjYm2FrjGbojz7A4dB0I3HvvNxkFkds+6jMjmKWbe5aUFRUlll+ppbkcdrPK5wPc0
ewwhXbvNLnY3Fgd3nP3DjbtBdmitvsA1sRisYRM068yS+ERsn8DRNhhNM8QEX194YPgqdFM+OVvB
utzRJk/2erAbumgc/Fm5qdICTSkaVPvTyvT4wMB6vDfNqHnyENh+g1ItLpVJeOrSR+I36R/+JeoU
+nH3lvlsW4Pz28OS8I3kciTfiLCAH9UtKDrTupXgaCX50X56k1DOowvuciZveM+lGoQJC1IAb42F
urb2YKWQeWM+EqLsvsayLL+qWL9aAVPRqqUiGWaconj/YiDQjtfk92j4548S5odca2anPfUU1n3J
6H3Ztx1jPVIR23JLG8Cb3KuBAsMQirzsLLllZyd/5GhjNU3v5qkD3O6xdeUZEQPrJUG3O2En0DLM
mVdsxwVSG7K/oSzWts9hY2P5I6gBt+tlaEjaXXFJ2HdmLxnYya4DtSBk/NGDd8jBy7bvYHgI7Cll
kxxAT9ePCR+Uv4XP6760LAjnjVk28ovSyIVbl5bzJ7GhI8OVgkzwvZKlQyGFonPecjVn7Q4/820y
iJJQrGVQiZ8YiQQ2LEp+knqc8UV0t5MtIBsyXgym9gY20GMs519a58uKzfEIrs+puU+okfgNWCZY
tsBcw5HLHHtijwOtpViKLx2PESPLzlsnYkYqYllnr2OEyVngarFz4EYlId7NyYYGrVl4OPzBs9UN
Qw8YzLXI+YwdDEa9JWucIknK6Ky1ss8IputBArm210XcmVYoUTBvSiJHP1GCQhmfXIvjn9XNfMpz
o1ibYyfe/4h7ZIlB81bqqMzhWefOV1Z05mnWbkWDu8zWbh7KaufkAzGgBDVjlGIJxCVZHYjbYFEm
Wabdi4BxJjvIntOkjdrPJVMWJZ5t6DfcryUYB6qJOlG/ncEKTp7hBscMtdX9uDgGiBSXbg27mL7M
c2+E7Grp8ed86wqoGQbbvh29TZ2EdM3qd+MPDvzrIgNW4nvXgr3vzo6b+DkpSwcufGtM+6wkbWHL
3j4BRe9+eDDLHw2IFp+GYLQDBeGMtbn+6j0ne3FkUpj7ZawDhr9u8w75AFVlXFt3haqNx9iw/50Q
458lL4HpooLi4LZx8bs3+cQ/iKGS3JRKJY1/6+lZntIx30uB0rLoCLSGMZWb14EMhxdzGDhK/7Vg
wv1nfQ8v7gu2oEC5EN78Rd+z2ISSpcHk72YRd9dAKL0fdMsWgYQ1YEcTKb30ZCzGzWz4GheOFN33
4JqH3CLkvf3MFfYK3y8ZdioTLzwRtGGFpH47Usazb7YtEtZHh7FMCZqTAaq37LVw6+PoZiijW3Sp
eNFXo8ds0EGpVaz7McdEj9eW7O6iIEW1x4teTjngaNRBobhxn3oN7s8cvWd47WzGxtm6b1LxmYFy
XAOY72DD88DPahBVK5oxpFKET/6bt87+ZxkhWDQSmRxgGUwH5V9EbCWXEm+fS7WOhpK+wbx33Wmu
8fXNB4iFjyzF0WZAPeRUmvv5lLb9vA0KiMVcTNA+7BASZYAsGVC4v+pLsSExaDiYGBzW9WScJrOn
3y1yCmAny/ZVRsbNv/70b0LSv6itgsBjoeX6/C/6nJty7h8uvZSzRA2BDnamVhktTjAsxdqHv31a
jO7RmgYRDhzO63lukyOpVP03G6/+oM2bWo+Bm2dVsCpbcOB+hW7jX/90/yzb44dzhc91KQOUqX95
f+GgG8ISsC5zi0EVq8g4OOM/1//mZW5UvH96EwIXxSO3AI926y+vo1gYu22kgh3rzznn+JbGfoQg
FhL+J37ZNPA8I0nhqyCnhwBWxCMx3e0UMhgHWdfZwRXrU45shptFkat0xVgPiSePFmTUqfmsurx9
/ddvjfXX94bntWl5nol0EvgHD44/f3AgVwmvb7n2htbmobDYRKtIk+EgcA5MbLQhr0F+rc20BlRw
QyKUtrlOBpKeZ3eGi6LT+cvLgun8x8/13/9E22v/iOf8rClpUo7qv/zrfzzXJf/5H7e/8/ev+fPf
+I9L+qnrtv7d/cuv2n3Xdx/ld/vXL/rTd+bV//OnC8lV+9O/wIQCxPTApGJ+/MZ/1v2fWNHbV/5X
//C/ff9XRNoAFLmq/t8a7f9ZfSX64/8GcPzff/Pv/EYpvEB6AULoP6m0pfibFIj0hBUwjeaLuEb/
k99oBX+zBDeJaVnSIuDx7/RGy/4bLRJyVL6d4PIO/n8k2tbtHPiTrI6XsAh9I0eOWQ+Gzj9fcKIt
jAF5G85V9oztEzZtH+ejUamQLby4ujLxmdoAs9tW5lRvXfRhm6KLvX8jsuXW/+tjlx9DorKly6UO
cPw/ftJ/eGaZ3iAgWwXYGKy2fc19nLaRCKLDEJf2c5+nwXkijmjBjVLCAV7DTmBHHRgbK5u8Pf8X
GCWLuMWaEc1PL2FRUxHCAfSIVI6wJF3m3uzm6LCAtwgZg/d3SZayW8kaYjvdxrAfkhbOVwpt48By
Q6+Nxli69RQX0cbQqLYcT86bKqafT8yeabVN9MC2E161yfw5OIke0AGDhCFfZ3z9TQ4zWQesreBb
jMrm8HDvytQx9r7IPIYobed8mJ5ZXDxCqBgANgWDgclsThM50qnAOeQ4HRnMufaeGU+go5qdASfd
2BLFmmMBQyZAsCjElV+d9NtDLwZ9TdyOGNiaTYdI/B5Sndvdx8gyQreyqZYz51jUaj+lBlAFYi1e
ZtyVDdIlmkcX3cq71bNcq4VpvyRjYGx7BjEHcsCYNwyOfW6S2NjyJSS3Ex4b1mOi98ycgzMU5fEA
ZskK9VzgOY1nsHVNf5o7I73rYdhv1Niojewb+knoD84WnhBKhc4FyeWJ7tkDUMLYpXZCGTfJU1GN
3rtc4C/oGaaLo02CvFtn4Vdr7pkyz6sSq9wlLvPsuR8n420cm4FN1k26BPcUESp2wgaJxdrBl/nV
lBkIljKvHtzSB9oZCaO/jKrUxzR23JDwoW07jRc3afag6U5+k5AEOBnsNE15lc4tVtVkVbZeWM/Y
JcJJw9PeRpKgtssd6sy2FXSLyXyLXUKNFC05QeDlphXtPaEugIaTqGE021bhWGpEkOSrhKpjQaby
vHtPs7gjq6Gr8c0DHYXmZPySSzNt/KGa70rasTAYuZ5SLqsthXe+USyVbv8kvmJ0XLsRJcEbBQuk
HWy58yV2RyJGk9p6MCeAH305TFdTYQtrFNbmcSFBoAyqa1oUmk1hv+xU3HUPCD8E6g93eXDxEW6a
Bd9e6bASHFhi3OdzWl2xN8Ubx069TcUg4JA0OPq9pIlDXZl0x7JT+3pU6rWo4G4GqWzQyecJK6Xy
N3TNeIN3s3wm4JFIkZkeke9BTZU0Yj9MwUIa7+Qeaq/zdxUjjo1TzQGtBNkIsNKCYKPRra6nKSJ8
PHaQ/naGv4FRgWJEUvaTyeprcGKoErF+CcG9Rq8ZGmqiNq3KucS/VDisTSTRSc4krmlrOI8krxO8
3t5NalkYd9fexa/deXdLDgjdQViX2E+AQxfBhgrrava0lgnh6rFZ9SdErOnnXOvkN1u3fh0UHW7H
YInIaIDcvkgHHyxP/b3TF+KIBwsM4+iCLa0Gb2tISRYHP/Zt+BY9xsyxPmx1m7BknbfvENJ9ardo
Hnky+4Qz1fqn3RCfzF45wncmiIJSad8DWHRjkR/wZiLY93RDBmHfz+xqWRCHaHBgELQKQHSU5OPW
a8mavKsGcyTEEoXipR9VHCYwA7dZPDhrVDCYGyNWkmsgt5LQkMZ0qBn7gX2V5YwUjGkEscyIrm6Z
1sva9oLaRjhT8Dlj7++8H6Xl9w+GXSPZgrWqX1twD9g6o/gqOjLKOPyGSwT0YMszbd6RrVcdcYQm
P2DWYpv2Y819nTBeoiIMblQb0AdMSoLJOScq946SOYi7YVL9Pecijw+qqprN2HfV0S9a791Ng26/
ZMzfVswy8WhQ2O9A65JBh8FD/U7rfFaAdnT3W7b+LVtu6d5LK+j3StTXKjHemmls9xXoSMzxAu1t
laIHVEQ845QVxB4uRJH+QPHHDEOwaXx3S10cgmy+DXRHeYjG1F+TBlodEubBIAZISkLVQQDmPd5S
mtsyGgnbEtk8BGdVRlb+LQg37h/BXrhPsSKRbNspQ3203AofUWRXr3WRGJcmFhUMxJoDemNpXq0M
lvFFoWkzOKQixj7D8J6XgXGafW+KUFKT0iTEDR/sdUwozdQZnTUbM4d0ZU0a4+SXPjvlql2jtRS/
rdn2HjkKW/8wyqzIHrq2rQ8drfhTrxtKAquf4CxZDRDYoQya33HZQulPAB69YX10PmG1zgeGWx58
yUGcBL6qb+TAOEoi28z2hm955yhzgTIYzYgGLvHEpZp4V/O8kDs0vuy0WqMRgFhEAz5ZNI8uT+sn
OMPNHtEkaP42tr0t+AEfhIrrTxdniZy966Xxhj0MkyY3kquOPdcr3oPCvwL3l9lxyOGsDf4JVUi7
cl1QmiYbDbb7gdmYb6SYpj9GL+vtlVbpgiyTiYqzSeve+ylMBPLXDIHibQ5fMUFrC9/cgMBHvbjY
gfVgVchGDMuIH5LRG98LrYDLGaPzVHcWihir9ba2M9XsLIz4Bb5BcqCqoYIXA9+CWmvMQqciCLCY
0nHX1HZ3siRSN6o048GbbVJZmx4u6rjU3/IWpgnLzUB/GrNa1JOFNCYn8BI3bZXjPc1LgsyX5UaP
xe5C/itjZIYj1tiHI8hLHLYkWEtjDIkOSN7QJ7UX7MblmqwqC/O966wH3uD1MnB+llmzRiHiHxLS
G689/JNQN1gn1o5ZGtRi/m6aMhbyVUkkGLtWMmOnE9GrBrztYuztvWynZTy2dZYcKWcIw7YtwLiU
DeLZbXtWiiwZqpGZiLTu84bpK9otLoWlZnObaUc/8re2XgZqWYOjm9dsqEJUNPI0xu0Mp5VcNVQN
TAdVJMjOzbz5YGV2t8WgG3McOcG2am62CSa7O8z+8XUA3bvtXK5RFw/5WRhsL9KY8Dx0X8r9RkVy
Q5IKs/+IPAiYTn605bseRocZ2xCRuQEm9xf1Zb3tLE/RHmJyezMwT9yTRJ5tnDwq8rCg372rDQ7L
3Wz2IgvbPNj5xk1rnAfFLkO4uGerIHYeqQgQScXQ3NV0YTDtesLF+hKDYmRaM7RVE7llXS/eRbD4
vU+gdGIegC58SvMgfx56tks2iJedN7TFIWvhpMF6cdpNpur5e7DLQq5j0gne/C6IQjghQISDrJUA
WU0HKvtoOTUGhhIc+GaqWjOLVt6gOWoHTyYHgFEkOKYKZGkUlSj1p5F8wVqrrWh0da5kb95lo2zI
k+rz1wlEhX0c4sGAjkL81T6IoqbYE+9ZnX3b7297JHyAJlJMwahrPzAW/NXjLL53R7ulrm5n84mn
TeJx4fa9IqePfSpQ5005RMMxZzAAUGfryLzYUPSgCSQX7cxMqV2BGiZHcoy6djcAeTz6GUGFjhFc
GwZ9BFcsdvHdVzK+5jwVOf1hDa/05NI99HM0h2xCq4ssULe3xmC+MuIK7jngGlIjRoATgdFtTdfu
t+6ElzzDrP6bOMNiA6BOXhHF2xTQskecOUqLp6gyXg2x8AyZp4iNZaAqc5ezrwPU4zWPyyiY4E+d
7dzpyAzWabBMH7DqogfG2y5DTQO3H6DjW+wgY7Ki/dYueFxsF00oPUtxcsYRRSf+Nc8a7yJNUQBD
4uTwCW2yOZebAdf+i7KluxEcNCRbIJ8t00he5qRIXq1e3zW2wCjB1nVXIPhha0Nzc9ZenJ9EriUP
Ervo9zU9RhjEeNdMZIIP7i1Owi2qU1EXL8IuvwkOu3YDcrqccAp2tcSKpEk1Qp/wOZmydl1LpuYC
tsm1aJryc5h1f62pvoBrRfE5WfJkL/wYUZf1Kx9zqHGdu80ddkygIPaO4Sb0UssYom4ptxYHErQK
4F4ZWPJ4T5o1XhSbBUxyIIDkmMwC+WV8ypdUXGIZW6fKh8ySZ4RZrRfl4bSwBoOSsSTPq4ktJKHj
s+Jm2rrgEBDzMi03mzwN0cbmD2yNQSjo2D35Xe8+uFbpHwdTEVcHOjKUBsTkiLv91M+QUVZOrQmF
7CrzdhkyoJm5NIyJoNnam/ZRIQRYz/To5x2wG8y+frIz5cA1Pa/HyiOllKigY1SSTqLtbDpp2zND
6N41fVZd9wdLlujyDEJSYteDCVPmBHMuy7R302bfmNQQizv4aPXwEsTomA/RUvL8AyT1akXMstdJ
ORs3nIpxSuImeDfZnu/AsVhvGvLuOmji4qiQM4YWxOZLYXjuxhuDYb+QB/ATq5/zJuSiHqmAEQVF
6fCaV1F9cCplPFpD7z3mS5PzrARfv3IxyJ11lyUX6HEkr1G0fVoQvw++pUA5ul39hacJNakLvbEB
8FdGXjib0S9z4uxzZvISgSPBjXtust442TOqEjVC1TLImD6g5AzAkIzB041IGKJKytjbUcAOsnI2
rcPU2JNEICUVslrAjgIIX+K4dJFm+ZgNU06dUOkPS5AWXBqAZtiLGofWsffQO4hFcVIWedbY3XVB
14K3yB89+POejxTRdvVdbb81eJn63ERMSRZlJ37kyXitRtPa58n05AeIfY2SPASNzs26HUvkWUdW
PawpDd90HLyjaQjtIf3QDDbWhYaXhN4secymvtwHHeQyjpnq7OajzXWs60Pg5ycfnzGYDXc5CZ0Y
G+n5xb7MiViaiQXIs6TYR2aVHkb47jtn6J9Mp4JVNFfD2iYHLkSUg3LBoww/4JEV+4UAg0/Hzm4c
PkmyMvmTIsx6npGI4vYJQW4hNjIYRAGYuTqX0WkqvHJjwIbZBxadPmCQDO0za2fSC2S4tP5wYIEE
PkoerD45WSWOXYftLIBZ70Up2Z1ZizgvaeYiHddDB4jYnjkYEQ6ROZ2TIdmv/az3tuxZ1SsKuiL0
HVqURbBZAH6iTkmNR4oF3v0NBJTN0Kl9AMGJnR27svmuJk9fkBmiYop9s9rwgD+ayg8bbZVbRkzq
kPn5TcY7AdTK9XxZ2LeGQtrmp8Pvh2utB0oiq+m23/ebA3nx/v1E6vc2wpQXVhL3SVyoDWHd5CYN
ZGiR8skzD4CxMMzHIcpaOpwpmB9KE7M/og6htx0omN2YVmiNyRU5mDn0cCibAaovAIwrpb1zWbku
FioxnuUc+efBqQGlowldkDI4SKXJHoYF8IRqLkwT535OsS116S/Wb99zrKEZmaqmELcbfO4ETDb7
1tL1lmPTwIAFOIB5t7khUnqEUjxYdNk4RTm59rnl7S3WN6xJwxHrGhGF5d73a24oWW44bb/FaN8B
tg92rVz2nmGdPB/lFLXWthmGH709Es07Eft5aDgOnnDdz3dOlPzoHRvIGc4HJw28a5lN3YfhOWrP
n6+qnLJF0kAcnIZujBLFeELmeamdJlQZE3XUleLc2KDPMs9+5wGOVNtsPPyMpRUarE1Df7ZeS8nK
OxO+RkSdbKmh1xqN8Fx333gibSg5U70KJEpcsqGRR5cCGYh9EEl6KAHoJ2P53IiU8tIb12kzxKuG
A3xbRqQylM6uqOZ3YsRc7h6EUul4U6oXbtE90WQT0+CmlywakORa3f2oC0o9J03uk9Z5yWrUlHIi
k8UqTOpFPOxbaaEhxwC4nTAPrN0Uv8kkLPduwvIFTgjjVa4xVOBo2tituRH6ZuSCCHZ08zMplic1
pim3Y/XUZyi+h+oYBW2wZ7cEuiyYINz3fRD2tVU+g9Ke3oOqO2YL3LuChmNVqgmpcDHtWC0CTi5Y
Vx1ITO+3oNgt7IwJiSYtzLZmGeKfcW5BTZfOBy3/s8NmbkTmwKq5+ZLMuZ7x/NQHi9L3kDAZ2iCi
OxuioKEWN3XTJP29a+Pkq8b+GpMftur7Wr06BNyRjjajcUoN39lYSmWrqsPy1ahZnW3JxIy2IdoO
6A2ewGmBWDeX6VKTP80s0xbNgViwHunPhKGJ/YUhSxJbx2zig0J5pkh320hbzsGqUU76MniTe8d1
trFxrM4ias9ZBFm4zkymXocls3000VMLYtY1DmxnwYsh0EOitshPtUTtHpP1UxBlT6VdJztZZ2qn
A5W/QgJVYePpe3KS+blStus55IzQiJC6x5zz1MnQrbL/xd2Z7MiNZFn0Vxq1biZIGgfjojY+TxHh
MSoUG0KKkDjPRhrJr+9DKRuVyipUooHedKNWhUzJ093pZm+499wY4Yyd1w94qobVTJ0w4e+CPwaz
7DjXLJUarT+7Ffl+JBbERy+JnJucVO9NNMTIDdM8qwE4RnxnBz0KefGjekk29j0YkW7Kv0da/LCJ
y5gJVeN++Iy6Vh3WTZJT0/E+7aIGoNYyDwfyopmkovCy7ehTNrsZlNqqPKEXGettl6SEjhthhzIu
JJB1r8GOvkFLJhMnE+6O2BxWwHFGJBpIOAKPzRa4mM9Cn3Nhyq2bwEXDeRm86UxEuPES2jUu4ZrW
Y9sZlvUEwx/Wmw1XHvViVaSXsaMk88PaOgzaIvLXj0qezrKYsftOno/ljgSkMMIBxx8RW9NO1IVe
3n7BtOUeLeWBqY1rSsfQ6S66pWEqDWFiMHSxrnqV2DdI5fcQoSmALK+xthEgcKB2deFezEFtWoo/
QWJVu0qZUlzIyrUf+8KOTvlk208c/OVd74kYZVGDqMhsm2Zvp4VodqOJr5WEBCJdaf5rrj5/Xk9O
g64PMQ+TsGqy4y/S47xAsqGzZ3buN33glgwzdXlNG3K7rdH5Fgam+GpCzo03YBPCjzBPiifKkM9p
4CL0y9p7u++eYEYOm2EZePWzPqh5qndQjLvzOJo8ri6DL5IHhwOxq+UX4lT9g6zhzmNOMbdDpXiK
GA9uIkLpr3CnUOmaOcLMCYD8bs6WtAjTYUDn4VwuKh+YY1rfShCg67oZ0ajG6nmY0LGadvspsRrC
HROUH0h2vNtZRYQWGV3z5kRoFQkB8vVeuL3TrHsHOUbt0thE4VMcB8FRBku50+Mzkv15TNKUA29M
T5Ptf08o/1ciLRSRV4nJSTAC1ht6CbwvL7hMujkD266s8uLN4RVi3tWLgEDGvhzXQBKx1ij7HU8c
D6ObiJuxoDZu01mcO3iMXwYvirZExb8FypIHrwbxQZXkrKchpwgLBAFHRZinx3GwrQO3Lq2xfUqo
mp7THDalbfH4lT6m5n6UxoHGTmMkzu9V4mGaZDGF11VdLAr1TiosXDNTSSKf5u6IRt+4HZaoBr6P
p7gmbrkkP2HjtFm6Yqs9gCFIGeG3vPm8XoMUvjPmxrwA6sBZDNL8ZMmIpjjLAiZDXkZAwvhg2ShA
SYX2V77W1skOYQKihT+TwfBo8iNama7etYMP8FblT1We3k74RhEW1c5ie0RKMmfgl9Zuj5sUfZ3a
2VQ4nIWMRp2tCgbOZBTg1TmohIqZAuCFJRORxBLL40DGYlU/T4HhfeDPY2pZ4cWisJj5euGbA9Me
NhMYWdKh5wzhH8fijYq78EoszXyalCdBpUHPyMDyupF373VpsOud4IuXWhgFootk2r13XCCG7STu
A+oiEtD6dQvQISnal6lPX128iKu6q8l+wtBgZPdhN8SbmQXLY4vtZG0jhH8QJuxjBGVqA0MqfnER
yR6gnlHSjB1p1NABo9nyN01cO1tf1sa+wIwd9fcju6abCGQ1SqRZfymQroUY+GrKbkXWJi48fgFR
6V6s3mYvhsjN3CIPPkWDIzck4Rwx/lZg/5Da7SWaVLoVqgVcYBPXCcqrcm1ComLk6KGeanA0rHyW
8i9mEy+A0752j3CJyq+kH0Ftq3u7uvCXpqdSTs9KMqLKDXtXcb7dBFNOOomBE/J9zijMuA/1faLn
4RjVJXLKoFXmK1gPg+iKQlxmHuWXscwHXK5WSI5HH3d3nAvwrchjyN+Qaw3vsa/o6xgaBANLoSxz
53NXgt9ieuv0Ly4ynbvBGPkZTxlfAjsmHd9CIE8nnBcJZWZeE9RKxEZ3jMdq5rhC3/5Zm7773MdW
XO6Ry7o3ZeRWBNaMjlNRDaLfjlyodmuRA3ldzVGh0c7JxKmRZPrJM3A5qMwGl+Qa9V+yo6N2Dj4p
A/PKq2qbfxeK6jrI9PCa+uU7XjZjjVHvnbYchGWTYGYxG/s9p+Bj4TYzsFoZKSORrjflebBVwklR
8b9ND6n0ZkJwRUlpuq/IbPgt8Y/N7sYQXvdV5Hbirzs7rHZ1P7joQkW1mwfHO8ow8m7Yso63PTwb
xmPshFtPK8Lsc/e+94gsX8V+xIPS+Hx7feyJJRoIYAXbjTVulGCZdBF80YkBvpvb4zlGP+pbaXIw
x/bBGx3WkHmIExtshAHZI81vlOGNj0zW4l1TFSSgDAH+ZqMpFMQCb/EJkioXbXxvRDhohe5XQuvV
sHVykwRPIy+ebYLfSWrLiOEdc3GXA7/s1n4oNatoMoFE41FVOtbaFBHutXZMdmwU92BsS3JK5Jcy
NqOdbMKUWHSnIRcl6I+VXdl35hB/CUg7Q99OTbvq9fDZqZF8dgRzbzNnvvbITzZ2XQSr3pxBLsb2
tPZUMW+a6bVOiGIyiUe0q1s2ghV/vrGeEasjTM3afUBc+0s5xCasWVCrfdprxDkWtvm8PYnSpevw
Z1J3XTPedYJYuL6Gj+L33hupfvGErx3atom19yaVDL9GRmAPThaSxpaWrvPEsmneAbgO74kFTnaK
rJDPIZlvEEHcdRaExBa2bfFSJtwdVYby2A+C5L7XgdgPrpcXa7zqWH3YonjzGptsgDw/JFR8yNL0
Ke5N9eDbLHy2dpFERDrZZnLGZkVJEEkSpyLBneyi7QpnMT6OU2YdErfHsDkGNGg4ytggHuGUszpd
lNrLTe3TeGz9RbxbIwhY1VZjvoDvgb3TE03sqIGIkNmwNmmih23l1k90ZlQpymn3EivSTarTYVdM
MAGmzH5j/xaeKUTSS041CdqYhmYiZursIktcDymBI+S8DTd4f91PPjk8RWTqXZqICSWw8g9ZXbfn
eraSXdZ35kOs7WHPkoExp6o1FHOqlmavSh0+xsPo3TKu5K2kLAX9pnTOrKatK5+qQ33gTPWNFfbu
mu0aERDV7NvIKGo5X8p59L9PU1nke7Yv9IBs3cYTUu5kDTCMp4dZ6lM0O/2d6OurEc2bkmkeFkHl
HZ3chyhoem51jsqIYVxj4lPdsFbpd+hSszVcve8NaA0QYh4rFb8S/UeOdGCnjDw8iAjuCUaN2t5D
DbbOuHwOOZlBX7IBGc82GAyNkcQtkxe+3ze8EOl+ZIjA1cVeHQOnRds2hgQQd6+mk8ZYdRPsr9qK
sc47jOkY7rC/MzeOI4weNX7vbXXmsVJsSUKbZkTIsin7z2oS0zWduB/rxk9XKqYxgIhz9svFElRj
kcjweGjqfzJ6kwfVkOaC1bcTdwB0kTNXeJmyYJdonl9IBM9W7mYfs1EkKNpb/4MNXHBxe+uU9Kmo
V/Tb0GsldB2gromVk8hpVK8GC9m7ympasEelxVNhGRszE/WbDpACk9AwZDb5LR6jYGqGd2agdB52
I+4imBlbhEHk0UkEciz+x2MFhA0WyuiY56iAkDGmWEsGAwkxmQ2fw3Zs34KYemPtVYN5ZvrMbTOk
LuJmhpW0CY5GIE1g+gHNDiSpqm8+MRj6jBfnqx6DnGvca5+FHefHpAE3seI6TV4t+k/M2oBTOYXM
CfMFdTq9Rkc3BSYrk/QssDpws0I6L+/lRG5IWErvTpHqvLXrXB/mMhvmNZM+tbO6qHJ2kMPQZGik
d/CUtDLWUy7WPxqcjLHEbvbbezZe2CWTymKKEXXjQRp2wCrDkPDARvu+cszhAvcGkyDn0QMiD2M9
M+knrWccoZtEDgBIFb3GqhTP4OwztA5LKqwAwg0GyRn2Xb/Mx7FdWuR6auZOZltIFl6KSLk221QJ
7vGVH3ETJLDei9UAqpy01mijiIkjKZWQVlXaiHzK2SMRrZJ+uvEI6dxKv/ueWonaqCpsIKKlyBna
LJ+3trCefGb768S0CGHlNN2y3y0uRm5f3YEcrA5AC2672b8lmqei3x/Hr0MuGnwyUst7ALPY/wA/
BLdmYhUPLGmDR5SY45UF9iK7jMuzMXns1cg5O6WtTxJAFOX9WkCpeHQmtoyTUK8dc+iFg0KaoFgs
5Chp2j1XKXoXMhjuert4QIKXXUZqrkMadGLjaPmCZznedCQWUErKMX1u0OtcNSHB48rsnfRlbHDk
rgw5I25Khnpdi/mm5YFYl3g1yd6c/GMXZ/u40PHJLXAPF6GUsEbgGYdZselFITELT+WRWcawniH0
84sY9cmqEc7Mact8s/V9wjeBn7wiaUX1gcr4k+GJB9mGz8FY62vcRnjIQ7o4sr+iTaHdeFOM6X3M
nhCSgjqQCMvvJwimM05ZJq/5WN6SE9HihMuOABL0feknzA1ooi7BVEzZiuZJ3NR+gGDf0u+yA/hm
TucoYmEkDfdUNgVLG2JT+0MajuZr3DbYCbAk713HKZ4tsoqSlWInfSyJArcqj/B07Jjr2HHHTWLZ
zQt+gflGkmu0ok1uwPyxqIbU5qERR6/UrBtP5zvE+ekBPB2yDqAla9goNSnukLu4vibcfHXEXjZ2
zPyeY3rIl5X8uOXmqHbsJM1zbw/fahBV+7qL3EOYEEm6Qv1f33JuuXifxXRCT4AOPIjGp0FF4y08
MazcvZwfkFjm2zkJGUkFVvnQUFw8aDXZ2whm52dgC+RnxP04nMeCeDlcvPK7N4rwZeiycQWXgrte
pmGT8cufCZ5I3OATDp8J82rF1CCuDLKDbNLZSjc+ptqtjkXs2wS8e8mtKDsG5XMMDD7QQl2ZDcTv
OeEpkOlqyOGCQSRyB8s7T17n4HLXI+fZ3DE1HF3SV6cANgRcJHRbCfsE1wnemzBwThQq0TtDQmqI
dBlFiSa9T2jCCxqBnmAK9bqMgj6ZWFDgw1em+jyHnv3CdCP5jD5tvmO2IbZREBrbuQ3Sb7HhWA8k
DLE5CKv8CSpYvGUtQHu/OJJFUPuPrglwKO4b4irIE3wYItbnYLyA7qk4zb5XlhgeS65XFjNTeNcE
jQtXghTgQ6FSB8h1GJ76QogduWVsFTCrm9c8n/RnxizeDSurfCsr2cMY1U53x8bAeSx6GnCjmrJH
ADpf066F6NRyf/Z5eILtDhleuO1d1IzWF7ccGCtm/GZWJaBr7sTEQBhE0q1qZvsIRQmYimcQZjKz
Ll7Zum83uBbq3dwyyKjTAARoYFvf7VSGZxQ6dYnzh5wFMiL6+OpRHOxYxgHJq/gdkl1d8NjS6tM6
My1gG2U/6KoLH9IgqLbYoOunMkweuV2peVx6aa5fcWgL32eXFmfnLsvHZ0/HGAUUjEDHyBU7a8ra
DTVy9ilIa6gsjRHGrwNG4XTxuWjGDsy3Z3Q1HFGJke18UzjnzvbmL2WdeHsZs73rVCHWAS3nOkiJ
GGG7Mz0yDVMH1/UXdd8ye6/NvvuOuGZayypyH+fGmo/EiMF1taduRdMVnOpMe8w02MTwU21Wyik0
45OORFv2quDwkeUlPJZssIvxdkjUPTkfCmWcGnY9wLAdajJqzigx9iWrm8duIFQgGjr3YDokpqw7
aWmXphIS/2x4xIG0c0nAL5+B53Ril+RedawGHd62ad/e4WDLCFbgvz8ifI9Zvg8UlenjNw4c42YI
J4KHvNyQxsrNc86g/0QrlqapnU84erVrga9dLHdVCKUizD/n5PKxQkEy/Ozl7D9c1FfXoQzTtyzo
hltXsHRhTosYFopozomUlj9JsP/bcvn/Q0J4dOv+vxXCQ7wq/ogp//kHfqeUe7+ZlrC5ElB2e8QE
oKnX3zr197/J4DdU8fzdHrpcx/7xT37Xv0MpJ9XCBTDv8YchByON75hZxX//m+38ZsHRDuDn+64L
8ML6n0jgPWsxVfxDAy8d/NaI8wkIsgPf4bX+pIGvYl+beIHFIYxB3a9w+8fWtrdCQVhNhdCSn9Gc
X2USxjEKLSHLNbIERZeq0iXGWPlDx5zS9FuIQ8oC+mmSTyMKtye2wujDBO22g/A7aIetbVnOtwnv
KUGz3OInx817CHfMMtZwbZOjV0bblGibq5OU9n3AVAn/6+TRXBoloZBBcuyikJ207TxKp+7WfILT
3qytdlMhIrtB57Pr8K6mDmhIkL0nHKFrvyZtaG71DOGPqYS9HEhzK6udzwAZ5Ea/MGsRV1RNcBNG
hnULqjTaO3MMYChJzpOdIxdE2oQAsgt2lSs+OEjdtR66d1RgEqULuYSqc+dVP4bTER2Sup+DQJ8y
snQ+goZ0tHyy4LRY6os/GvJg+iZ5fj1xFDrgNWXifQsH37pVzfgx9yyGTULgVk5q3HqNz05n/kof
fjQI21RF+GlsxJnu+OJQypKXfCocgqNjE42k3xjvTiX1LhzFBy7QfecglM+8iext/FvkAj1FwcKD
TqAQudmCbojgE2Cl/ZTH7rhVvv/qpeYlbYnhkIRS4yleJ/3YbMmRlxvZG2QDaqyPcLxORVFNCB6d
PUpxmo5cXbO2ZhE5E5CxdfAsHHTtfJ20gd6j9cx74j7tu6lfnJv4J9+KjnzaVeUN0bsd4uiP2Z5e
sx7uEIoE571te2Of9428K4g7PSNZnr63gRpWJP6Ihq51JIO+LvSljbM706qT706rkQdMtSBOFOxV
0VUcl0muPuqsp4OQiDea4JQhhFpbkcUNORutuKNYDzlq5TWr/GCjvflBxtV95pvgtbR/nYtEH90h
T4hHAgiLDj60ryilm03iTu/kQ407aeRvRGkON53vHQ07n/GfYvR98P0ekTxKJPxuksGdh44rrTX7
RDGvIWdNZ5X5d5bhuA8q6jrr4vthGrB8Ka0GpKeRsKJ1sqLfqYLaf02KcIQYIsg9DAsDb3aTw4Qg
v83rudlZdRT51pnDgv1Eknq8YVy9D62UOH5TUXRsWxIBUSf3ZtNc9wNhBFyTIw50kr+mCHlNDAzI
t6rQ34R5qFn2pRYtPEEd8bjCU80WzHCSQh16omEVUc0Er8HLdZL6Eyq/NmHLVhImAh1FLh2ZuST+
DLLkuolpoTEWIEQ4A6vJ9Q4cFWhoaEStZP3YUE1mbm5U3+uMpHFel03RzuziPFhHTKQ9CpSwJJ04
DGS0JbKH6WA0QGjdx8KbiAJ3GXFsFcOneBcWhuw+KnuICSG3JNYBq4IZgIIjcN/g6EyfSs0vJlAp
8/uoldMmhbHarLCbxNUBcRWIKnuAvrCmtCSVxq1ynD6UU3xYfmYg5nC2ABeiZ9hU/EIUK3ebhDJE
V+B5O4wM33S40DWTGEcGWpXEyq5elRbpbu6dUm4LEvei2zgr+faZCcX7hX+ttiD22UKbnpzFZoro
gPdFH/vWEcmhyt8b0E/JLvAzZC12QXrKyhksSqLAT9Cg9fFDUM6wQ3OPF+xruN8WQqtPZR0D6Z7C
sXVXDWvYnHhiz7DtN7LJ45sSZ8wXXVa4TfN4bG76qkNPH8s5PRYj9ZZkKuvGHV5Ur3tKlf8Uq/FV
lum46cpm+ixd2Hmo2fJ7kVoce0mEY6Qs1SN8i2o3DJ38HNkNtaVQzvxmmfOH9nqEjWZfvoRGu9A0
4JCQhgM8Qp09/l5ww9i5XcERqofiotohE/vACPlEUdEtYkAAxyvii5q7qc1Jno5HsGyRrpW9qXz2
IFu7LHN95tR+GZQz+jsvbtRjWvi5eICeTWxNTmzGhkGiR0lZkms+sU8YiS9FjnjIHWwcg4ld4zH3
LVKBPbYLK53gEd3I1kmeWiBIwxsNgWrhPDCVXVgq0JsbQv8scB8H2pqvI6NWcqd5lq2VZJ+HXrme
d1bYIXQbu+GKxT+5cwy2m4MYxxsp+vspg1Efxl56L+mYaEqpE43Z9Jmt5ePnjrXhfW2YAbhKPFtP
Hak+91PYFvl1CKrqaylc9wANWB/DofANNKmy+OKFiXVvMPxik6CCu1Et4cPI+OTXiHoXsBjSaSwr
Ls6cVvRhtg6VkN9lPjeXeur195CaEtYYCZlAIYyGYtY3UNTbwovjrY9fOv+eSA+xMXm25m024But
Ksv7VGgj3UMAI0k9wIuZXyzU8ZwKU7xdCKhPFSCeaN1luvxm+7L6PqDIftWNjewVUGIADAXGwYrR
Ds14MtKGGhWrzyjvjOIGuYDzhCKwKS5lPcoMTU/lgI8njzrdBmYsX0FbA95Ku2Dcp3VY2SfPyoig
MtrhHjyLfDKrMr+UCTM/JrOh/5y3lvs299wgyfSDv1BM0as3GOzaRyvCQDTlqDPwnG2k7XuHkKH4
1opcC0mhrY4D4QXEaQJi3bi9Ng3OCOLDdpJxeoOmb3IwSQVz9zwSOXTLHISp5xh1zJk88AiItwxk
9stqaIlpHxpCl1sTYx37gynfErVVnTo19kBfhejc+zYd8teii3joqigSi5ByCAVhvwEi/wDULbvK
sFchOlRABHQgJvcf7CSvvGeSa0x3rsdS4t4wJ4bowNDoYQwG4hLsEciETU0LFW20zqNsVRiZxswu
6dL3URu40SUpYQmsh1IP9xYalOjk1LNrXnSazmzQiRyVjCaqB2CmUI3m1Jj6h7BJ3PoFxuV6RLyO
1iNl7hpgmSgzfvIBu3NE2HhhMnyfZAM0wVM4Ft59SuXC1ITkBph4TXIwnFkcAleO8BUS+8B9VtyJ
mW6b0Z3cYyJjJTgxYt4YaTdfutCBvlSyJTknSKWbdY2WATBcN7Tvo/SI0kMTRPkgzNtuIuMpacMH
kx/8uu2ScKs8hqQdiVCv0uqbM9mm0XPagbrLICKxga696AnAOSYuqpuSb7hCZDNBA7owoZDZnsyG
NDiwcpR8rbVyBQwdzIhXG6X6nUR8jsw0Fs+OVmOzB7SkyRjzMo7lQnkenLuU3ANDhuJ5sgbIRNU0
wZENpr5/HEWq66OFEfsU23P0wTXHYRm2mpHeoGMRHfLEhEJF//GltorgPDFgus5OdW18a9x3yENI
M4W22paze0HILjdl756bGcxiaQMF9CCbEwYZkhbnzl+4MNLHyLfzjxr4yb7JGgtKqjAytCktGem0
Ms1HFJWUYJDRgEYBEwTlyQVVj7HPmjhpU2trdsLZNcJfZkDo9do9O+oovHFj7HpdpZkR6xF3RYYe
dd2oqXqvu+ldNQYzN2UlcLAq03aJKxU5En6GU+lf4iH+ouP5kzUe9k9pVjg3jg70HgUZpmtPhLmm
T3/oAa8/W6j/KPtiifhT3d//9qub/WdjJZ3Fy257vo+M+Vdz8TAXZRWGhj76Y8v+GQNESqxu4/h/
gWz4lbSxvM7y/VoQG0w6Qv7vr69jBYatkCv0x7kv+y/pcsN7aqYjiCYJrHI0suRbTlonmYhQs+Vf
vLq9fFq/9o94tMF8OIH06W7//DYTHWUGzip1dNqk3qHbUI+2LLwdntqZh7TL72WDxCjDXPg5myrG
HFQTgxk8zVQXzo8yA4pKvhQepUfdP4/X0a+qoycaxiqmGQHAS2fFVNggSumua1uOqgpSFWMtWI8r
N/hp9//F7f/H7+2f3xCdsAl9gA9W2vjCf/08Z9SosBD7+jgnXYcmgqhboH1Vos0tPuOAOz7KpfiL
+K5/flFheqZD5geVqeebf3omW7yHzsCEhheN5ovwSdouFLNDsgf8qfny75/MXwEZyxPDiwGF4A3y
N5FZ9es7jAJhl8AV1VHPibF1W/sDEMmuMEf1F+/qn38CCM4pQwhTY8hBKOWvL4TXyqoBBJXHBBma
unOsOuTiJLa0/yvcxb/4/AB+0EVSJtoIj//0pUUZIWMumHUypxk2xz0lRdiPcUTIaSAIJbGF3e0B
BtLn1bHu7jLdC+eKOW/NRRR/kFdD9VdbiAzQxYTzYfxRH7Y/asV//+H/02dCSBuPFnlaFh+Lu4TW
/ZFOEhlOpNpKJscsjk3/WMteXcdqpFn6H7+O4GfvukR38TLBnz57r4m7Jor6+FiGNAOblq1zsonA
CP7MVvvfHvf9/6NjOPyK/vCVLPyN37kaC+Dj7387EHfyHn/J/yUg4+cf/jkh9IPfTEIKhU921hJn
+I8Joe/+tmBswFYxPLR+zg5/nxAK8ZuNvpQoQ8ARtm17/CJ+nxAK8zfB7w1urWe5/o9/9N+QkN+v
rZ90k+hb9S+uMUp5nsh/nPC+Y/oYjS2m6swIsbk7S/LXH9gUNpS4WtPv7kt6ccK2O8ASXUBHVhtT
8+4o0W5TMw5edOPKvWdoNK9OqDa+TsMj2mb7w2QAfsiAumwY0931BXxVh63JG54QBJqzB+0f4Frz
3ihSM4Ku6dZQhqJblLvjg1xwgVVf/mi1VPtBuMm0H+POf4DPnehtbNbOe4j8Fkq548U7GvjdFPQ3
GDByVA3IgnrtqWMzR2isMT1OgLF2SR3gaMdQVAdR/4qbIPjISAYXqzgmi741wn4nSouWIk/z8SNK
nPANr3p/muGeblygzfsZ396By5gpGKDvfTc2ZJrbOTq2RN4BtdDbCdfJoYrBlDVT7610A6A46bv5
quGoboOU7gCemjchgitJH5rDpH4esEB9S4A+3SjTEKdG9k9zZwafkJ3Iq/AbiJe2y6DU9qpQkC+N
fgMJfNv6W6JaMEdPUNDR6U3jWlV29gqayTwJOapTmdnvwM+woGdJckliFP6JLwlJQgzDVrVDegcW
1V1FmZ/gloUqAWdRnpukcy4Rq8+vRF/hZxk71/hOELS6KSY5vFZU5Td84bxPl+lc2KCmck3nlsBA
eA++dCvMCnm+DU35fXQyrKxejCw3H4bi1GRLWZqLd11o3Ikz2Psd5WIIctFz+KCM8tEp7HSXozzC
pdabr6iWuY29vKEvADRf95l1I+K4O9AhNBstAt56tBgWI+WuhsEdAI0DSwXEFr7IFmedy0ae3XCu
QMTCJ1VzLD6PU50deluCenD8YuFCIENsZUwCDFvWVWtDm/fDDvGKD0Fde+22cONvNh9JSN1cu7eW
NaRHRpVoXkPzUpO2e9HVHHy4tRM9j4Ac+5UWxQuwu/wkY3zAGuc+vhdSdi5ygOuta9O+7xphlix3
DTwylYOC1mn7mij07o6AKWNt9VG96+vUvp0F7sBUe+NtPOakM3g2T20C2u859wO72QBQmXdGwWcW
pJa5MdqSdHDg3mdDyvoBp61/ZnEvd5MGqC/G9KNxFtNi1+5r0uFespq9c1a4w6o1orPbTulGu+DM
0Y2Wzxaol9uYdwe21hgwvIXofaCCp9EtQpzoKmbL2ahYIJWerBn1SqnhXXaCtBzySgg2QVoDidMt
3+WcdcGagLfmAE7E2aHDkaiQF0Bj9d5ZI+7BMF0bpt7YpjJ2baVvigFvjWyYPASm9xSTBBBZpQ0H
YZl32rFnbP5wVv+LY0/8Oc+QU4+FOue0xRqGQ5i1zR9PPTz0pJV0HAeg7u14NbgVw90a7gK0ZlnW
F0JS7LWGfi268jVHdRgTjNa2tw6aMRRSBF2f1TwwUSninqzuMj8Hw+I7p03PLswryteqydtd5+tE
bFHlO8VWqRYTn0Jr/BD8+D1nP37bAiklPGd+F96xW84FDaEYN+UgnHKLMDR7+/dvHXbEn078ZV/l
LPUUIbgUiuafTvzJUA5WqYhUJjd6DHISuotMPBpyfGO+kK4Ij+/XLrSai9/2MErYHjHYZQvK09DW
aLmNyG2trTvHLPAJUWEqYy+I/jQfvqHEj56w109Hv9EHZ8yPjZibcW337Zvs1K5Cn7FnB3Syc1sS
kp28N81YwbKxiuuIzelIXdtsGNAwybXgt9nsqlkMZwN6zBZiTzm0wiNxzVS4UjJSozU29MHDyeQG
Y4HaXgdvNO3l2zSYww62afnVZoJ/60ZTc5tH+KxibRX7Smn/lQFSePQKEV6nIhke+L/+rp37hKQL
gcF/IOIrCJTczgVpOJq86X3laXGxkZ0eI0LdmMnBk9lFpL4/TjSYw0rPUbfmP1uvCTWNdxkxlnu6
eQ8DBOqjXLCh4A7qk23bhe2LsqEKRagTXlKBEbfJS+e7B315k6gsOyNZ6VZj7abnmnghb913tvti
KNe+C2ZpPIpO26jIgoi7RZrVN3AO4wsRTd6L61flFSxPe5UIn0/mXFgHYTnxJWzM9mAPzrFAUK6G
mPTtqlWIiQjvQXhqkXWltb4fdZHdIqnuG4LlSCmLHfxd+US4Tkr092NvM8QxbZCnYHjsr04twqcq
dMg5D/PnWKXwONTsoosmuap4K8xa38zCxgnTKqzCcTeeS8ZXlwLTxk56eXJhy8faqYVBvmsJesTD
WMh4bbZDfSGgMbzrDF3fe772mz3Tu4lgGA+InyPKbduyywD/l117HVc33jirTYxgYFVEoj4haMR1
sZwieRNSrvhHJr+IuMs73C6POel5jc5JH4imm7Hz4DtLn5kS18SaqC5YBZxZkcfpFS7nmIisGJ2A
YXyXywkH1JLNfMswQ7c2M3u89mWXu/v5x8HY/zgkOSkcTG2cnO1yhso25pzJE3vmIIhNhQ6F83Za
Tt5xOYNb2xlPJQlpCDps5MVlOODL1RMnOoSyh4EYsfNsWv2bi/5mUzHx3mRGa++KHxdDutwRCDjZ
kOUWYnwkEONtQ99kHHx7JjNW/biCzKBGgxAYkyL50mr8p8ms3DvCQ51wgwg++EjaGCaOrKzM3Xem
bE9ks9e7brkne0wqm/THDVrWkfyq69TlquCZFtxTSX1GLQMVs8bGeqjIxtiHeFySTfvjSme9yheL
+ybeMJ0ecMA3PgL6jq/I/1E1/Bd3Z7YbOZZl2V+pp35jgNO95EUD/WDzKJlMs14IyV3OeZ759b3o
EZEV7pkZgQAKha4GEpkFlMtNbmYkzz1777XHeYDQmCSmeaRwvw8XsezJ4rWOoOKBuUNnfPRUUC6h
BBFw8hLXpRGsHY5pYpCIV9qw9wSOLFxZ6bZg9Fl1bhrto7Y1m0XrBuCwOmUvsyEH7aySOD4LOMp7
q8kRlxE1n4McuBJir3sFpe+li6oOaljWlfosp8K8DEkvvnRJ213CegwfaRxq7kFSD/XKh/O7b3wI
WTjlNZDquh3eQkjqyVMRd72RmtXuKrLLZ2Y6OqJ6dkrzCt8UlxSpCAx7kd40bYcWUPRO9TFU3Ysu
C7hhrjYGtCTrgmCna2xdGhIfHJ9/eMSpYV9pBR7OgN5fxF+XDTBgUwtqh61dxJRbewc3/n0a5fLC
9lIsQ4dHlwHh6KHAGQMHXgfyY2kh+fMU2AEiUecC9TAKwKhqiOqzpJBrLUn6kgEP9Q9QVu0XK88K
3mPqDElWcKFt+p6l8UJK3yGdQWD6eXRCsUWv4ipm7xMeCP7BnKxc7aDKrt+RpR0OkaOBq2CjyIG9
lP5dCCji1Rjcy8T+6AFOP527uYZpECfSARMbSYjeduVdMJrxW2SRWkTrFNbCqtLmw6e1561om3qt
Ozas0jz2tvyRD51F8JrfSKybNJNHs1B8+TWnSeaO0/BOg0hJ/RdtaAiNTIEzrcW+zGwvehQzgM2U
hxDknUX6T93UAOLTroZQxQCgrQqdHmc3bMr1vLF4yevYPnRj3cK8C3veB6ddU98U8cPOtHfMAC9e
Pzv6XQb2NQEh0GlKHpRuf0t79TFSkrnlAUaXuPLybE+k1OVqB2O1yKLSv5IUGbfceRisvVh/igiS
wlRInwy7MF/s0qCatE2KZ+gh0TPI7Ooz5npfKbbnu66Z3jKlP1kSyMciioTcCzs/m7K/jQAWMvSD
+GpJ8q5JCUyUZyRBna/1jkDzslUA845VYRd7l9LUpe7BqlJWYu2mpojWBtbq11Dje6rT4Xgceq1l
/SK9L2aFd8CXbtQThZ7H+imjSa8f2mk5BPbXtg28rQJMuJEAmk50C4THYkTCPbaZllN43JkPxOXq
YRnmQ/PZ0RYG7i6u3VNWZtxtOt+K7nEwS4BFs284IhmycYjkb6vcEozGBeqw5gkZrqhTlPytYAqS
sAPa5BTVwQwz2CJuzb+9S+ZyKJdSQVAJc/Ct+A6jQ27nOHIbyzrYZZUzrcnx19vCmwYOTpaFuS0e
94NSJqZWXp/mI+clZRIMYXCN6gyCbtyIgsiNZbTOW1CGxhZSAlW/UHNaYEwjV2016tCDMxT0RZHX
mG7rV+W158nRv810z3VneMZ702nOrSqJ/TjFQ413zF+YOM2uJkCxFLcwRUKRNXEZBO5T2mQM1S3P
dsiqBrjqqt+6egm4JbCGrT6De4g96U+4S6FWYDyjt7giXhLmZEt920SNdLzUJESn+H4nKP4PrCem
B4laUCzphW2htJFEjYMCmwn/5gtNMuYZjj8AlzlVRHWoScIkbOTKJrOWbZWjtHvBo/piGVn/zY4/
vJoMQ18MOOz9KZDEXkd7V4UxY5GWnVMykbZeQmWqE6BXWRJtIaOU3EWo8RNDra1S8RWiUhJtIFw3
2IxGPOC9coxV0Xmnpo+mGwbCY2NiTdDbFzd+y6frGIBaAx65KDMz+hYJ/yaO0ww9r9DvHOGVr3y/
eHhB1b7tJ8c/JkFWvBB97rF/J2whcKhrxHm4ol8nUfeP0H2tV0+PxbOMZLls9Nre15oeHXgSBCeZ
eNrSDaKZNJ2A4NBqhorI3zdVFJLmD8mUo+vfhVEhr8BCxjdwnhOubT/dV5ONeSmiTsbJcE2AMcDq
yvPUGV7wnFKvlOFSneWTYAc8JQWUM5Zrm3AAmpUa7s3WK7ZUskBpohNow5Y92tlzxQ2OhWk1Jt64
7kJj2DFD6sQuclfaiMS6dxFJVuztsh02Pq3q65jI/2MVMvmROBPkhFrYkXaldn6SUA6Wh9TMkDSD
HyRSeh39dFp3RRO9lN1ITXAz+NQDhinkP26iNCho04YGgAH/alBuDSN+TLSxOCAPtdvYKxjIYoJM
0Ds480OOf6Arol5PbZEfIu4Z+O5HaBUizB1z2SRaj1usjrkCY8pfufrJSM7+mGjBr5JTOJXyE12T
gpr0qHygWIIqcXuOxfuZtQti7hAehplV3aB74rygsNvEYdxg/F0YbgwuKsq5m2Hw6Jd+DM2ljb2j
aXjeOSNok6ngQ7CYieK5nI2fCLxjlXrxwowHa93SX9GkpK1mx906EdN4YMOXgSFUV87lS1NRfRGb
QMFpX/bSczCHmdO+c1bsCaY1taXww0jtcTZ34+QYsF3mLfCMfV/lBtaxjqoDs86+BR6kftmzYXat
UVviszWKheWhK2fEAL+aSR6/UkxcJUgbpnclWKjOhEGSC2cVmnuIaVE/ItksCVlbTxFBjCXB6OI1
lXMatUjyI9p/xPmvoGcApMYOlEyytbuqPGX4wXd1iNmYVAHBGAcrsq0m0iKRseUKsx4bjmuXRsOR
nnVOtQ5Tdh+BokFA961FE8XH3BSHod6NLu9nm6lXdPNlVAbulfY6tYW+FT0h19r7Mk6SkxPWaK5c
gvAHye5RZ9z+lbz1r47CBAFcGlpAaevqp3V9H2Wm59kWmZZxpHPDjuSXyu8wvZUicxV2dM6/hD19
tNQMzkAVq5420qDQiMfE48cME6rWiS2C9YjxDufTvK9kp4MHslV6C7snmGyNHqZ5w6lL+mgAzbAg
HHPpHkKRgyioOSFqv0LS/6u39v+DTLp0985cZZbX/55YffPuvyfv2dc/enX/8+d+8+uKXxir0Uzm
vTfynwTV/KtfV1m/WJYpbbbgOugHNkP/4FWb8hdcn0igSpq2TgkJX6Pf/briF4OVFH5dNuvzOt75
O35d9jA/7mZcXbiW5bLdx1LsErn7aTdD5tfUOV2m+5Gs4jpz3n0nVJwiqvQmsEePxExLh6yWPuYF
EFhOX+Rc9SF5H2zhkBStDQY6d8uUxzRPICezOAxiT3v0bXBNnFidAUsX7rIxphojtru7rhLpghRt
teqLNrknIkRoV1XVjgPTa9TVS7OmObKmks+FNBI4PMaazrtrGYdlloK5iEE8UyeKHwbvfNUxZLIE
PDGwyneHFN4W3XNd5yZ0JFdN5ySdSDX0DUTFBAh8x4QKqKjf9DULXfILm8l2DX+RELZYlWkREYED
p+tX2ipX/R3B8x2f4NeeRXBfpKe0JdFXm7SniSP+Bx702Cnb3PwmDKKWWuCxeq9id9pyirsPeW9v
8zDFxTZpBaDn8HHQ2bFq/akVvJmqKaxTRFJgGVrxDT3l2/nmusiK8oyHuKYfnLLCcGi+FObIoPFU
K5LOdZmoTVC2B9sIkhtWa09SjKukbLkrrMYyhS5huNm3xp57emW0MWhaw7OyyMbooVQ+HBoeohUZ
SDgfxQIJ2V9pE2DRsb3TEAOo+6yHxzacxN4iN0/GntRSnK/HouWtcUp/l+Z+cJ+l1TWwug9PjOQ6
KVLZDMOIZQrd5FZYZDB4HrGr8xjkMCFGW7dh1KDJXuxNNY0PVppfrbi08btZdruK0mC81xMP92Nd
N8WWG7p/O8izSsWjpUfII5EkelbR9tN03dnX7VssvvT0yWc/GW/wBI3Lph1s7ufVya/qvTaBj5n8
596nY3wI16MYaTlp65sKYi00VL1MCsBnytrx2KGmLh2pyDbWYFuWOhaqRclEuvSGeUNrljes9k5A
jzqgINnCdd1NXjKN1/qjlz7BrRkA96Yaq/L5taN9Sf9KRc/HI62sBG9HeragtZr1hqVtvUzd3tiW
ILAyYbzbnhaybVHfkkidLWpxbD09OF55sRpKRgGT5jG+2ykwXjs2uTo9uOHaxjN6r2S2QT0DvmmO
jiAWVWm3yA/iYvRTswmVERAlccWXginr2FRx2CzrUchLUrKnsrx6PEZ25b6LqsSEz6PiqBnKpY+j
aikv9pLniBoJKMJtHdJ7DdSTfVK1G0FDPdTOAJ8bA8veoiDmlVQLokzZ5xdy+93ecbLkLR49536y
w2kJzylecqZHQZe5OhYqlBtD9v2mMQx/32owi9LOTh9mPsKDW6TtIdKL9DGFVA4sy8QAXhWqem8w
tK9K2mlu7F7BdhB2cYo7t78z2sy6EcbUHhq9Ml6NKGnXjp8PmwHc/rEECrKvAmha0OCCT8secKjW
6Vh9LTi/9cCHeNcnzg9nzm/9ibRLc0xYehhLsET6xXUH/dpbXXljeKZxSuM8eBz5sM74f6sTXxXn
BKRWP6V2ThSnYIBdznrI1kjM5EbxD1wFeDTvCDfq2V/YE3Di/HDXdpEP0HYtGj8kTQOcN2b+/x80
VFjnZKxqREiXuOdNYVd5t8eeVt+UVgaT2tMxuhl9vxhNAzQhZTEcz9x0LQbNX9tN+yi7WtvADIQd
4EQ1d1i6fVcCghpWV0Wozw7918ZrvYHvnC9oGtOjI1rUDax6Cr5LNV2KOQpue25yHv2ED6oMHoWH
2lPZSuzqoUuXnVFTgTiKh6rCXte2fXorW5+FD7Zp76Hoe1PbKjESvIKUVjK4ZvzFZM0CRee1U4zb
bKIueYmlruM4mfoBRYXsfV8hcME7AUCWIwkY2SOMUve1BktUJ7NYZbrX1sH5HwIRHy25KrJRYAxz
kJr1RG7B85w0i7DwmBps6VrrWgzNnH2791gJ04RAyx8Z14OWhMNyYhu0jvHkLoidT0sk6JEBKz3W
QCOPXpUzMXL5hyFQXMzYmz4LOc62lGmxOSEL0Uv/S9CJ/pB1PVWePqk6ZBdxk490GpfKSDZOEEfX
YpL0PtGLdwNUxdkqaJbLdnL4Vk2YfE59IZwTaJeaznRNnVsADo8AJsyTH8ryJhZKv2KZ1S+kTE1j
SSy7OfJZD5hbZXju9UadDUbtfuH2Qf0VhhRrCWw8wWea5NlyqLxhU81XyjhfM+589ZjzddTOV1TC
PHwISIDcxFo23BVlWNLQnvF8Dgh/FT2PykxW9Xs5YillALXrTTxfwWq+lvX5qvZA+z9w3hjOyGJw
xjuknXK+D4TzHWEE53osbNqeuzKbvwele+/O95BwvptM830FaS9f2vO9Rsx3HQ6nxYq0uP8A658O
T0rE97FrhKcMjzT4lqZKnyt3avcRFO990fScr5sWQgNwnfcoMcdj4Wn4wGTsXIJUcWNU/OkjA4j8
gjMCaTIC7toREbzwp7XbFmL4EuO/vQ5DfFZLlDIyTDrcWLivk2JCiYlk1RtXxeQQTOHM0cMQ4yOs
tkHO8RCrGnepHaTdTeZE7hKO5FxZ4Sg2E6YahNqB8vdg2Ey1XzxjJUOtNUVMLCIiDdjs8u9xCayf
PqyHmnPWom3crl1bAPdY6pShAr1F0AjwHm4Df6XGofTX6SQAbQ9CADeqbPoauAyifOuWjXVrse46
u/4g7iiupoJXwTuuIgKt9VQJiF/fgx+lDFiLa4R3euynuaLxt/A+rE6W/YociISr4JDNX7ffAyVd
NJGIdLhtvkxJQtpk+p48Ya4khTJURmmcsPSZV7aEvC9Zeed4JNWnKOqxd8KObcxsxxpc30RO89h0
gKyskkJz/TwTKM+UBxKlaDRvyYyK1FABHdKh3CwMD4QdngsW4HnRU4nmEDjroreCU9NmjMCnZvQS
upVFKTO4N08v+5u84RqVdfUROh9JqSkQWx419s5orqBr9icrB6EekdlxyO6gp12jOcwzkOox5nhP
AK0AJDh96y3Wy2MjB7kjF4kOG1p0c2tXtEyeeaFhnTSe/zPF9Usyx4f4jHzwm0SKqqC/8Dh/nOak
kbD7YF+3E1oeqYpjFLNlGvq8eaKFjEQJDfTfVG7MchxNotayxkdGYTH4F//Xk+l/9Qnu/z/fFV42
np7//pB3eE/T9j/+13ta/O//OL7XQRpWP5z3fv3536xXVBDNwUz22AYdddb8XP71sOdw2JuTxC5e
TP5Huhz8f7decaKzaBhzHWxWHMNmv9bv1ivzF9PBhIhly8ZjKfFK/Q3rlS1/dGpquHopX9Vx9f44
LmRm6xstZiFqEyryuvRZk0qGa0eOP+Q+bsd05M648XBhaOSsF21tx2tdK8vjOMCuJClQbsbAETcy
A5lEB66zSkAA7JIZf641Hj6EQvMNAKpAOFcIAnBRPatelHkz7lOO2YukDsbnYd5qO4iR67rUg12e
VuUtpLD42a88TF8O9Mh03ov3bRIflQ8WL5uIEFjz/jzNguqAbA4q0lDhOwFQeXTIh4Qr7/v6vZ43
8e68k4/n7XwHv27BTYGVfT9v7/Pvi3wHu+xpajmR0NHBpt//vvTHfWI+NLMS0IwlZY9l2ZHUhO98
KsxB23hu7m1HZATK+Ih9uhJpQcuoIWY6j7k7mhCh81mFABbTEX5DmSijrlhBN5letZhQCTqxtTNm
LSN2gpH+JQzDx9qvPdLnv6ofbapzO5MpADACjYvATNpFjrP/KCKn+LBj7g9NXWgrlzv9Mvqutcyq
Sx5l8TN6dvHsh5Rv6LM6w0gxODxmguwQzirOhPLcwEAKqy8tEZ2D1VLSs0XuiHXyE7XY90Dbc47C
gKM1LXWG82Rze95yR1ffMN4QaBomlpZholVHSTnyu1aEMdQSu1NLLW2aNXOVvvKmiL8lLOCcLlur
atY1LhwKbC1zHUzSWE0JFFoKJfQVrlswG7AmzSt2o/Rb2fMprMzKKp6w3bKudBXhnkdMIC4gqI7e
ZFpoatjwiZ6m4IBi17+dexL3Ki2DizCREIyimnuiC+IAvG1VPi7LNhgvHvFe1l2wmWz+SvNS8Su+
t6TxMJNojU4yEjopaN9mYG/e5xtvchKTNoa02ge2Nm7SwPC+jYXkd6pTJRI0EmA7S4OvSrD2iBtd
HVl77+zdYmq+PY3/Ggz669NQRKtAjQrBpYTL6IVNvdIxP9zlhDiQoVUBCKqdwNOY5hReQzvxv4kS
kNTg5QVWv5BnosgNFNKEEysryX5CPaI9p4U6QuXrVzwC4/uETvlo8bJilWuG9U1H/+WShiDHWD+l
NdRiy+U0aoV1gb29AzjAeStzrVXCZprMYWLShz501CnQGE6qzdQc174EIbVGKxawPjjoaKDVtcQA
Tf848sC9FToxT9pCA+nQiDoz1zyj3Bnh3Oqf/Vjme41Y1Nw7PPnwav2MI7Ome+JgkEKpMQsodU2G
4QtLJ3s/Grn4YlNyvCM901wHX+CDauENTPSYXHhTUM8NtxieBhYC72xNw30q4bYUo9fgX4AgQyMZ
sTQnVibewzrl3zrR6TuvufmchvlEh1zBBlWMVcj5Xaq2WPd4bubWaKxIZtGuzI4WnMrEgbAaGtYp
aCbBB03K/YfvQQCTpTfeTMjelzCrtUMzivRCqFQ0NNFrBNxtY7TfNHCMqLWOBWc3nfT8RLhQp6Eq
BxDsRTB1Ah2yFCHYZW+rtziLizUaiDxBbiEQ38LzDSF6nMBXiTfX9kFXZbNeTh8LHkjOYeG6cLj3
0GIedzQ8GyEpKpb9+9S18gMNrgXUbzbD4apxTO8URc6wGyVFAgFN85RhFK53ErVBmUWlsfrAVeXU
1PfQWfuOr1A9Sqslf1XX6ko2/27MSJL5w0BKwXazjdDgoTNKtsWDFJ06pkVCbZNth19yM7APLcID
6m2rk1vCfdXBPlqLmvYea8rjnRlqYpUAjVhDhuxXXOrVOp/v6RlVC6uysbWDBM/+mvg1wbUQzONW
YL0ke52ENxr3vXNK9OBW1QQ9A+F1K8CV9VVwn7+UfkclB9b3ARhqXG4BhNgX2drxg1FrwafhIJ9Q
7R1369Y11XECC7TTFQWcwMl7yox87YA+L3Z2b2Y5kh+e21XRp9HZF2kfr6lpmj58DXw+J4nwmqJR
7OlxvoODBmOdu6WdLFSkzFee24pdYIwuK8Qo7yYdMyinQUK7pWKf4zb1mIHlaAZk9Dz4FkWxf0Vf
8x7MYiA6runo8X5PrlOrKzjMvlm998Ddn5GZqtWgTzTZhJRu2XYzOQuVGdomY9uMJkZHz106WM4p
qSZJA8DUn7pKswn6A9Qh8m94B0JCOadIv98rMww3fjBZ+0brYLUJo2k2jhYlV+EQsg8BMgA/LYLq
E5tDGNyYTje9a65l4GyNJ90krp6LZUTW9BRw9Fr6o0cziO7ap8lNu1ez9qONbustPd6p2HYqzed7
vBsUaHfkQkE1ZJh0reJmYgtNC70qzU+L/vkbjG3DOq45fi51d5oWZevWX7zJJb45Zeam60vtMHFG
+0zxpszU8u6e/jIyNI4tCMthTjkAS4rfIbFwOMqU6d/6caDjqqJSZgNWx1rOwPd929o2T4PCaY9O
bxjHLsUPqjS93dKuEG6BB3Kn0/iZfWj4WCpLb7hEFM5vAcRGh1q6Je9mUz56fUaNBI8TQKcjQPgh
r6+9qNg8uJ7zUEeKnpmux7FAccSKLvfwCNP+BuN2tq87DbDiVGNadiLpnBTP1Y/vs+l/2xg/v9A/
Gkn/H+kNhZREluFPkSkPhMHa6v2HwfwfP/abEGN+l1sMQ3ctRZBubgH9TYgxfjEEahxTuQkFxfjD
bA4dhVJlVmwILth9LJOx/XchxkSjwS9D0sI1dZfIxd+bzX9c6XFskBaZJv5CKU0hyVL9OKODpaWV
ysZZQzMb5ua4Ifbbu7u0S5MFxW0vrsQC3Q1BshTAy7fQUT4H03ymb+GFYLpOUha3D/yCrwTDnUXc
pO26GWS70mjWIg9RZvdxoddHEORMrtzSVxMLugW1XHey0OJVD+hgxxPOXfh+ceMUQArrkLj1mIuX
XBXlRrbjFQbfJ/f/izHO+Adf0KqlIhtmsvbV9q0bbFQmnAOtfAvykluM7IZdM44SJcfyeFW/ewvr
ZKdN+alKoi5YNH3qLFLpX3wNi3loCm2tl8CcDIvSo4ID07GJ7OlQaDwrg8xDSyocm1WWnoxPWFEf
9DB+pznzBXtukiDEj9NZ47awxvHlAeNrq2XAvmYRmXZ7ZcdPk0xsn9hcDnszhiQ7eWO+Iq0BFbIE
36cwpY4DjEJhtN+MVhHuBSFqVJZzh1NAX+JlXAdlHW/HWqSw2kpaj1iNLLWBRINV+hpSUeUcgho4
YEVQBbOmcvbgBtk34aj9wATwVg0qYF8/kSmG+TKL9PxfmVV8tFJpZ092+l71eMBCzCXMzMI+T3HV
blgnfkZG0281VTq3FRzKzXysWbSRYSJ2A8gAeY6VIsiwPamyOpTpYF7devpaFKw38ngob/ukjV+s
fHyxXSZN1GTEJBUBuqz1k13G7brIKdOcRpD6cUcuPyMa73wHg9PJJTv++NQktMOz9cMtlOqHnOl3
yZ9ifCuq4BiS8Q+lfGBxGR1cHR2QNsfwAedxvSLuEHPoi/0z7rLk2jcByPmUftcpJgvfhwHlfoX9
6KDrscHXxJnK8me+r+pz0LOGo2iW3kwmIOK0AbbeFfWDp0FOH4e1zIcUrad+iui/BruAql9nFjRv
jakiG/QdeEfohgXPmDn0KSOr3qQtCxbdh98jpHuFhvAwDRHSJRsaTvBi2QW2pOIotRDkiZZuh++J
4+h7+jidGszzXhi22Eur4mJLqgEMoWkYL+KEScXE7WfzwE1Dg6IvvoO3flN3BwKZ4Y4H0wgkI+B2
puotnrZzS2cYxWVJZR1FlkfXOrLdrYngt6DO8Mnw6+GefJN/6KWr74wGOFpjy0cDVBpsli59SqI4
XPJRdetejF0DPaTBa9pq3muVF93ai83yxOnDP0xjz9IOJcXGkikqE5GA82NRZSs/J9yLl1ndyNQe
7vxhDjWSr1kPfYu3upYHFqPWrV55dG94OISk6sO73qC4biRueKuT3udELKcvzUjJRjPBQOmdfOei
3MULmLd3XtxAqNdmAyfo602DK3iJP9dZdtIHtt3MBz1JZ+eOOsMsWacJY/So6SikOPyex1rJx9Zv
nV3pjt4z9XUeWQ4n2ohOBxJBq/I+ckqO7Y4IH1VYlCc/LyXhKzGZ12QCmqDSitUHWLhnmZnPegDW
PZcjuqWf7Yp6uBRNZ352xDWvIQ1JK42g7rRg1+nAjgB14tLvw762+MDL0n92EAFuncLqD2qU9A0A
Hl/aHlRFzUlgHqI6unZS3GiVe/Q0tFZHLhqfpjKVpfoyHa18JlEfWauYXLmU1sOrjD38ZIFztEmn
X/rJK06e0US3AXEz7FftqZVht03tpnzO9LZdmCxO4DuN7TIYK33VQpVcp/XI2xlN0WOH03hD4G26
QuC6GzAoU56APw9MfbgvovaO55C2byGVboQu/A+o3NPOSLQHbHpzOdPMFDaz5hbcMAsVF26wlblE
TszwNLhBfC19O78DBEtrG9xzALwOeBcC6wtrcL0VChmKsAanbK8J7JmNVoqVF7rpVq/i6jRoDVWP
eLEX4N51xCeLu3AoPg0A6MjVibG0lbqD8fQlxK7O5pmjgq0oUx30wlqzSyHpwB5r/b25DyuUvcoz
70knef/r72Am+JH9sMco3yjz2aVIGdnZhO7hTeocx9QeLU0OvHTcWn7/ofltCg6SYBHDuPtN1NE5
7VvuvsYOtcRYu6Z72xGLxbgZ41FkHOyvCFTtpnMh+AgtujqDUZzZ+UVPBWLdml7Pfg3A8gn/L944
mktZ6lUggDT1Ok10vpSq+JoPfKFknTx0JUTraBj7VZboN1PHaUeVGMUKGT3WTWUikWpqWc2ftIuq
urE6n4aklFtPo7KvmTl9tE7+1nHm402dSAwlpgNWhb7IhYiz8DB4/iUMyurscgJY+JZ5FxrSwqtG
4UeedSYULrA8pClR8iLH2tVdXD34lt9QTOVzomqadEfx5ruucReaRQTP9NayER9jBpHLFl9TzlIg
X2Cvh5bAJsOW9b9tkv3jIPt//icZj8jlMmX++4X06T2ug/ev/edn8cO8++vP/baInql+88nTkRa4
P7JXvw+7jkk62GAJzYPs+yDM/+e3RbRh/OLo5LsV9AW+1NL+z2HX/YXJGE4gkrPpMCjr6u8Muz+F
4aSyqKanRkM3pDRd0Mc/ydci772gsmiSkz0FrylR+p71B7LKGy0K7FQcfUUWA8hF1W49ULtc3PoT
aUf9lNfdi9VHr21R3chqmrO7XbtryuYSsWuip8UIVzmPGmSm2l5WInlp3Jn0rOIXULMr1Y0HEBss
+dq5vpO2L7OPbv/wafyLqN+P+ebv/zgsVZwooCpzmLB/+seByA6aaYTcNaTRCjbBJva+QS++6NJZ
/r1XsvkkmVBIU/MfG9XhxyODjzzndOTVVqj31LCCx8m009jkK4M66j9/KWvOJ/4xtU0akKUCc660
BP9j/sR1ZJ3UpxpncQTf7gseFWfppNlzQz8LAGMDZlTuLxPZxRRK0ODudPiXdGlTMEAJ/dZjq7/D
ZLu1Q+eVP/WQZelZE+a0EqJ68bX+mEvn3QxWtigwmcn8oxrSEaI0WsSQlafR9jnak8/eeJbOwqvF
fkJWZtl0UI9tKlFXgTe+y256LcvwzSodFoOxLv7i7f7uqvjpPQCBoPO8wMcnjJ+9ch6lrt1oaWqV
u+42wG1spAPje0CZBRKByl+KVLIzoTwwwKQf0hZld+lXaD2ff/5hfH+hH38RZ4a0AL0B9OliSfnx
g2eKGvzUxwSKto1mU/LQwLj/4vo1GyMj+cKkf7RBwZM/Plbt9JCL8Y6qPWfL4jah89q8s9rqfk51
DKLcsnB8nyL/LR2NDUeO61/8sjMw5o+/rCMlayKXiJHuACi1fvqWZpxQNQbAYK3rEz5fjMOO3j/Y
nX5favKMMPFQt/k+UnI3DfgzqGkAyIbMzaAaoDZVE4FL2C8Oft/lBIEm4IzRF5X9qwD6bzkt//Tp
8ntCgDKxoXMpCe50P76pwi8dGYaOBt0wuS/cCFZRylmz7IfbXrTH2sPrmEY9tGTZ2KjQ01tXThRr
07WB+eHP37T5PfnpPfvj7+L+BOEhi2UkiZN4K4/ZfChoTFTGQscLjrN4W//ly32/J/38elLn22Tz
STnmz8sHx/IwLRL5XlkNkRzi4diGG2pf0p5vhX1v+Am12WOar7pcAwefOuFFBuPe1oM3Z8QeH0WE
2v2eVUWmspe5ncIHb5pG9cNE98uRQDVlvJ4aCDeGdyrVGQypm9Cs6cR6lDZniVBDdT31WZ2JaSk3
1jQ1HnFBsRXNaNC07fKEWu9vPLZ6SP5gwhsEcno7UIc4HEeUMfjWurGmy59/ED/ezFFL+VJIE+mV
ZxWt4Tz3fjBajZaOet/wQaDrrSfbpwzjZohccDrnP38h858vE8ZEFGBWpryQJX56bIiJjUHmcU1b
kUM3SvyJQ5DYhAuYdpqZM6oOnqOhv7fLad+wi7FG89Vz03nX7L1Vnruk4+IrXLdFpse7KkHRbKrz
kCfbP/89Z1TxT1/NH39P5oc/Ws90SHG+WZQx0SN5Go2eJmQnWupR+uLxgIbW2dG1V3QhCZuAIrsh
O1cD/ky3KF98GFYsRSZYtHatrYehtHbsXrtzVVcplZt9vMMF7239UtqHCaXnqe3pQSrK5qbL8V/a
RYvTrgF1piG68lXjhSXu5VUA6w5ehD2vzMYGIDVltLBBWtb8+fPQRO9eUAAFKfrxbRTtk8kOejUx
OXxLUcXQifxq4+H0OWYynzagKJ/+/D375y8R0w6xI0YrdHyeID++ZTHTeiutTK184cE2oFG26ZiY
na1XmJs/fynjX73WvN20BLZxWAM/PaeHSC/b2srVipI169C20zOAButYVKP/RBQdRmfJ+Twbz7X/
Dat3v8RHOCP1eMD2DQuWaTQkH4qoLv+Xu/NakhxJs/Or8AWwBi1uA6EjMiO1uoGlqHJo4XAADjw9
v5hZLqeayxlbM/KC7Muurs7MSMDFf875jhXN/+Kbu37tP1cZyF4eby3jVN6mvx77GPlZlQeLAcNv
eZzFNvCM09I9/4tP4K8nlSvBBga1DdmDYa59nfP+4wMq7UIMuMJhPxNtpmUXLYyWrnXi4SPO0mZN
aPJhEm37WXbecz7N9x7liSjDxKDceqAUqGpRyLKai5S+Q/NMz6XBIEMmgfsvDhT/2Xfqhy6bIo8F
toW/LC4KEaikAD1Zh37DqpJhW8gBxaaADwSK6MpPg61pJqeQPPE//5A4yf/5m4CWYmNVAOXErowG
8udnhD9QLY1ogDa3wUsyBSwxiBpRw13fZiAGsrPq/sWXtP6zrwkv/Jp4YIcF4/Xn14yq2XQD7Ipr
8oU7GNzY5XBPHlsXOpmdcbSvhu+0GJ/x3H/mmf9pL3YaJ8aXkpmIU6NpbkNd/+aeerCaIM7yp3/+
kbj/ywIcMncPIw64V9oRJ/c/vz9tdBZZN2WsMT2u0d52iZdsk5zXBZA+fNNigQDEQzRpm1RfehwW
/6NvpN4qn2kbiW34yS7jgfF3nqbbir5jAdyZCr7sDkbPDk4YW1VDKK9tvn32200wiO2IxEgxYLFb
Wnc65gU86oqA96wHGHde/2uuzKdhdt9p0VmjI25HyKCugAc0OjQd/vNPIPiLBOFCfvK5tmCq83h3
KHD48xOoM6KUoZUG634MnuzKu0eF2wc1Ha1tq0tsZ0puei+9abUoYyvh3zQUdMm57Ddgpx+UnB5c
ygRiExNunBUuHQmSDT4wGVqYbwG563UVYUuwHKzyvVJX5uaMKCy2cvItYhwF3a3utEYxhBpMUaAv
wsfRid4tO7vBSbkuSjLoObtBjn4xmWTal2H5Sa9umwGjvhyy9cg3apnVpSz1Wef5uSjxqhBA/RyV
WhuOgwmvnnZK+TeNUew67iAbTZHiyqqZzrg1dhWN97AxTGtFYSRZvUqvZ6vQ29TtY9DhBoKtRdKu
/aZR9dKUbwGc6Uz9+he/Cj7pP1bKkGQQl/SAq93VT/aXlWHw66QOOofzmB131EgH+7HZd0xu6Qj6
21f6Pz1m+X9pgML8hEPL/36AcvP5k86f/+1Ofv786tM/Zih//6t/n6GE9r8xIuHaa5kgAE28Yf8x
Q3GvHQzX43LIfcG63oX/fYRCcAv5mrAESxzT2eB6Jf8feqH1b+xINnsf3qS/jV7+KyMUZi9/PYhB
0vF9vFqsWhxMHe96EviHDEBmEcJdiqXfXslN7hq4Y7qDvJRewLUzLfGU9RpC7iXxiq3pnDkzhaiQ
htQhnDLi7K6dUWtD7Jwbzuz+sEUig9QqIrLaCNs/Qxwa0hfBJoEWYTThCxdIe4U0Ya+14Zir3iwf
OtfRz4GHMUClw3hpa/NlyfF9rdp6egLcS782w8WfwQscRKuKRiN8R0cfQPxBimq4o86n7HGjeyB5
cO9XVD2nxoIdeFa71Jt7M65VvZwYIU34mIdwvo+GZJxXbA9lc7Rl91Bjsl4exgj7H03lS/XYYiIY
KfWT42NlNVV0XNyJWuWIkCc6pGun48EW5dgx30/aH8MIh3k1d3VSUjIBHPQ86DqKjkznaZ+Z4WbI
+3ku2h9Xuk22E5EuxhfDEtFPsyz6izbQxtrbVBtCWwooFxP5ZOBtjyIJShhWdHXx8LNPx8Xwxt+g
ohX7fFp1H6U9WE+Nb9Nty9H93nZniD95fkh9x8GXYqStuWvK0P/Ct+SOB8dvZ7nqEomqWqY+Bbip
pvHBH+mst3KUpTix3Gut6Ww+uX2TvQ+lK36GzoBXbPbBLfe1Odj02L8hu03Cjb2qnU4cntSuZjMJ
6XSX1Y5PhU5L5SHs0Hw60g6etaw9IyZHgfR0dkqjKj4WHo4HGMNU0iuzNo8IHQBUjZK89CJoCGiT
mVgXzZhZ3A749VA+U8q+ah9tjV7tHctvcIRLL85uXXwPFU8LI54CClHV4B7JRP4IuEmsANAVV6GX
SUCY+ADCFyvFd3QdRzc6QZwenN+irMJX+GY85JZJTvsjbZFbsEONcTDoL5qj8TiK0djn2sMaTwXH
DrVKpWuF9f/kq+rh6v2gk0CmZ8w73v11gPEuZZnRcguSfVPOS7ojPBJ+y8qGz1GYRvk2So0KQ1oO
jBFl5FpwcKTWkLK8Oi3+xvjD5p+SSjuiRBq7IARItZqxOJ2nZMzWeV0/QKowN1TduUxfcpT+9loN
67rju3QD4gXtyPPOTNQjuECtVrjFgho6ezOplk8PAFj6OphNivAHJ5krN8h3EHBYd6eDib0WL/lA
9V7cVCasVMsOEd4gVKRv/ZRpzheWUM22cYJRnxHbGWelxTWAboa2k27xAtsdx63Jgo2bWQGtidJ/
d4hcEMAMRWAku6Qa3FfXcTvjFiUlldvMo4V4i/XR8tYuXMY5ZnpLI/o069lc55pf9AqsoVfwrtui
1rduF4jhBhkC3o7V5Wb1mEX8Vw9pOIFCnwPmha+KpytcmYhqTA2EAVIvm6AzxvUcES1scfXtVZqp
Jxjy1ALTbtg9EhWZw01mKCq6pnFuzyOsFV5shooIijSTvUi+UZs4SV78KicVyY2TJLJdtUWHX0/Q
2QxOy1wQ0fvQoEahprhmXFdLSV9I3sVE1ifKsvO26A88mfiAWxzIuDOkey/HrL6ta8/78Q2NPMK0
NsqOg+vJLycqJS3aadGtE6pRxlXGH7FIaPu5xvL93Ll4BvFXWe4WY6bYe2bbceINCfEjaXZZTOrM
s7nAgGNcQS9IFbE/FfQxHa9dE/MjVmsrI9fCH2LI5s5dMJXNazm9j9g9b8bCq18bqiHJ3XrTfDtM
dnEE9R5p8nUI46xDgvxiH017H4/BzRh10R220pL4Yp5G25w23XuP3rnYTbkeYCFNMTIqDxdYUYvm
kHR2xL281NaBvEJ2UmqiRt2Q3RMwLOcVLPm0xUVBD3Id+YcBxLNaVWyR1UYbJpQfwR3cMWydo9zR
SroRuL125jxEZ9pvDIwWPe2F0GfwRbt1e0FCHD5NjGgfGffZlz61ioMPrmBryjF5YLfMwl1nBf1T
Y+X6q1OZ+2NH1vQ0yWrajl79GLEsQcfp0HQ36dg85oOrc9I8aXvs4Eiau9AKxB5ilLOm7AQzG6CD
LPaojHViL4/oBgkBYEsY7/67AJ3RrYe+7k+FT0MXfS7Dqs64TDIouZoPVPURBJUh1o1n2tPexLW6
KUdagIgJNvuqGhuwYvl068FsJDJG51G+nS1+YGUK61fbUMw2JLmTxnYNKOk8V87Srnu5NM9dOZXo
qBrKPfSD1j207jCe0DjR7xqMvHSGEcH6wJrg3o/DTKNtR1U6vYd2gdU8/GZrlme4ij2paw8rLRj1
9oglUZwqC4bTqsMI+uA5dCxXGfDRlcLwfeF7UR8QhMyXwup9oAPwGx9smpYPGTZ0tU58SpOC/BdW
q/IZWkG+mZIqU7f89up3czEXJs4K9plU3q6xXRAxTfszYm69S8HM3XJyoYcVqfxttigBxJqTQRzG
l7KqrUGStWpG3rdAO2vLzPx7ypoIVFdDNJMFpQb7ESiacbTdRn7YVs0DJtxhyVZJQ2njGq7FSArO
79WX343uRx+2472GiuQcMMsXb80khLjMrqK4xczd+quZevWdOCU+kV430jj2fUKEfMZ9k3NxG4PH
yJ3Rph2vDI5tqKjGS3A/YYtIMc1SxClYzEwq28e1BPoee3bHHxaJ8u7dHHyIN/WszPxyLQzOPTYX
vAQLcdrUq/ADCC6eradxJi6T+u01EXdJKP/sYE46/PYmNR7gg7Xnycdz5BlZe180zbisegDf6dqj
pvG5BF+0S7uqpyU+MXemn0CAkhCSVtS8kvJlxkz+1+/ZbGY+HCquKXGDTZnyh1fgTbSXedXn23Z2
ls8uqikm7LQzf1LannyrXuM46vsRZJcI3WsWWc9pcWeB4DzxiwfDZPPXa6bFZM9WVdDXl44p8wMH
03StM/C2KzcLBUWqQ7nwsML02dlR3nxEBQ3msefU01YbS2aBxyKrrzDIv9NW6Is4m2X9Wcyed3IT
rooO0RaioXKQHPCM5IT9g8KV1vIKWPlY2HDdLNcqcbN5VaHovjFod7Q0NuRZstTjdhsNjf+QNrM+
y76tn5oI5uBKyoakZkgJCTph1h9qmL/OxnZFc8eqP6+lDCh74bDTEKM3E/GcwB5g3ZlYJnubLCLc
HgumGyaQYj2T1Ki4Ps7dR5jlbDUhlR4XWXWeu24B9Hwq1XibIM0JO1ZdUVyczEbhCKaK6uV0RgjE
Ok80Q0lrAE8JOOtZLCp6ItZQ4KTif3aLWc+kTxXy95qZl/sGc2JMHws9RHcE7an0ZIEJfxRnSwUu
1sRO0LMz39Vi9o4pETbi5ZUK907jGFRVBClFloLPbG9mkHA9pfBMeJYM7rHGGwENxZP9iNhK5Ycv
hpeUCPcjE+nwDtIy57bU6/r70lbeuDWjxes5klAZwsl+xHcjR+E/jn6UXfJx8TnkYW6AGtAV3xjG
nIeOHkp2IgfOwAr7uL/xRs/4YcXLt+zP/taew/xXMJMD5SjkPUeagNwWkKn/YMJmhsCUg5uIUodU
X2czJGEiHB0JoAfvBZ7mu8qUxlcDqO/RnFOZnexeVad6nIPfdO5l7RmkZpNACvSqHxzt6mWZ9Lwv
l3I8BS09Z2v8RkTwzGDMa8LScp7XWc0qtO+6yt/PXW48+4KS1E0JFHhnKk+dKpA8cTBnlGV1ULo2
1jzIIaZJuDyaBNHT2C0pWVrCRG0oGGdWHsxBF6xJoukt3TTtmZFxUKwNkcnNVIvspEVvHqxqeNMm
XItENNl6ociXb8TuPpLGvF6mfICUqRMeMgiq7F3Cvc8mfHse2DOyPPNE/xiLF7nm9MUuqGhzpU2C
QVFrYvfR7yZw973vyIMWidh0oSq3LqrcDldMs0uyOflFira/uHbD+jfDfVtJze0Q0OuuwaK3mzgi
uGtbj1TuUS50p69lr13e9ltrNuq91UPN6kQwfNNp297TCYR+Qcx75OwSNE8ue9/WD6d+P5WR+OA4
08dNlD5k2GRWPUgKDnNBwg4O7y4YmwRiKUBWUAGoxWLoz4Mt2KlhCq+njArfxFeMDPEprtiJiw39
M+qn6Gpz2uRTGUI8SMOPvLNJ7Nedr44TDwiVZ7M8yQ5kEulkmnEgwn4uYfeztAZnK/CV1+2U21iL
LfXgz1IeZ8Ne8IoLZnppyq02Qzu6iTKvhmGCB72rDUhLYrS3pIP9e1WZ8DI6rclUUVZ9NglOHWaD
ird16EnzQvkAejqNZQRSkyce+3vfFadRDy/Y/MnGBCSOQq9cSIMUIH3IEK/4dY5xVAiEtW7J05vU
UHUR5/NQvjSOTl9NEtLg8CrqoqO6e/ZNpT+zttB3/mLTY276Kr+ZFz/Y+/bkHhoKw52dqXuIQWau
l3dUskvR9vJSVITskv7a3uZIToAD9iGzdAZyLTKh/Nnz3nDzj1/t0t9Uadmd+jKv4DeY5cIS44gv
O0pMEg9aE33BDkikOrzhoLecxibqb6H6Do9Vytd2QrxjKI/DtisF6EQwR0Relsq+xS0wPamAs/nc
F4qiLyb0710Sekdl2eOmpvJsRZim/wrrTJBwDvTJi5LpMREe3WihMrfAHdndMGdtHYO+qZBWtwLy
ihCU28mRDjROIxTuQjzZUHkFJrEZrGrT4WaDRVcMNThVO4BGOlkgNKC2AhdVBiXvquLwtE6NYfyN
fKsC4JmahIpFoxg3E8VEW7Gb/EjbmJy4KCu9z5es/tBCMp4YHLtMyKPlrbir8tZ8SbKx4fhdUBqD
+/TDTg3/Qjrf+unzay9YcTUMrlp+D4eB283Wh/qLArfo7KXoNKWxRgjM/LFt+7rea9GFm1b4qt2E
Zbe8jWnrwX3sxoMG9ct9QTv1HV2Gtr+/Dkg+hWdYm7GgABgXg6Z30nEBndKAroxHq5+JeE2jG7O/
tI9pGahPG9Tsyuitam972YfMm/TkQHOpN+U10WVOzFm415XW2k8a76kLZrUnIOnYN0JTaBk7tczl
xu7tJdhBmnCMrUPqCwjQVNXhCy3ktrlr2TWdVZ+U1yOjOE9Tu80mOoJwu0fDsiJ3ulBiOEbm79bU
w20I3+7V1PQIg6FwkoH/LMjfsjqTRyY4NTjNvIOoQwynPBpB7lRPU6KWx1pZI7xgnaqe6m5d6PWS
ziRkJoNaX6YSO+UE72QPq2iDTmmRe2KkzoqUmZgTLQ/kUNPLD7q0Fsq4p8xbFQImH1cz44kgVnjG
KdvHHCGxNwzN+MErl8lblnzfPXXYES90pbrfZT6Er0xmSOuyH3GSbr1dXeAr9fDiA/wScJizSDhn
3Q3W1orS8ic3WiPBI5tn1+ZH3JYEaPBkYh2o6O2zYKBkBPdsCMx+O0GCJlIx3aA40L2Iv0Ewjygx
t6OYtQpbZV8PE2N/MYGX6RvyqgR+ATdlruZ17/N0BuloVuRae25iOVRg2oF2YzCaa1l4Kohd2Q5v
TtJdj8qoJOw5fVk+FYwDcQwysbzQsAc3JKvg78VpxYO5Yp8u/GPnVe6nMK7GxCEVOi6mmfiQwRYF
6sZoV6AU9HGKWv8L4kL76ldW+LYAS9ME8lLjrgnBmsQ9CLY+npx+xraAH52W5EGCpxlLWExtUcbJ
PFBzX8HOx8CTK9KQXhqKD7eb2x29Qf5tmdSw9eya1NFWBUOw9jKAOj7zD3ygNp4G3y2LmlXeDt/y
nujWzvJp+8o737mrEFn2ZXW1uubKKR9qg5YBAtEdeQSCAfiDIqFIdUi/Pls5iS+oThUvSQVJt8Va
38AsT+yKnBaabFK1mGNkApKjsogw4ODWQFMT/T76XLD4ScL+ZZgDwg7+oIG3TIFP1bhdKBSpIJoZ
oI0Fp+ShTK2nEMTFuHFV6HNOKIRz8vsRkAJA2/zTBkPA3CLThrWdhWUahG9dJY9RgIic1wOXLh5P
H+8DFnHPAlakxRuSUb+ratsn4jAHGX29Tr1jWlv+1F1l0w05R8Cg6GIFQ9oH0r9kg1AvIHTy124y
x2I1zInPj4nSROekEcAUxlWMoRRmTU3aMlnqFWzPjra1UURPhPO5zWub5Wf2rfwrmSfFHMS2O/vM
OpFR/2tatJH3hVdZh1B3st4Jujud01SNw4Ksp4Nv6Q3yufRtqDQFIK9qVdiM9IhcBHMsUp/ZI3cB
o9gUg8RYQh+hIz6BdwUn5CxmpVmUh7d4p4j5BayfLNi5IFRZsf5TWUqw0FyDKlmCuKwtBjbQpjuc
ztnY3iJ7Ey+JaKh/9+mMXy9BN7zzJkn7LE2CaKIV/XBuTRzKnJcD5B/D6cUPtaJ5utX2gDhMZYrR
xWxLrCu61mX1nDsjZomoWYjoDarzYzhZnosfP5p2rk/S1LB7KIBja87nuQZCeb1FGnTRyysoZCmb
Mt/YZH7vbVC/7S7kZCS5MkX9usPJOMDwdJObScMMiKWi65e2V3NaTUXF+KswI6xQrKrOiMSntwRi
savPk4eT50o7BgE1t8zRMmkyTOoDmh5XSxqFt/0CvXpVsrNxBfMR85I8J0wbkiDydw19lxxPJ8Gw
aG74hsU1YXNDqyiCbFlZv8fCCB8kEi6Tx9z3V67REDAwQdsWvMYlTSBGSbJh07NsCspAO+NecNUI
XyhYnYGsjwSkwlx1bC7WaGy51rt0/rr1/EE0mTBuntnZQ6lDF9957XXrdAqyh6IM5z0Kajpurwn7
lzYb2tMyj+Llii/rV3XY5gC2yrfWcJJNkwVBccjZRDbJFQcuOiB2azqd608EHeOnydr5KSeaT27k
yrZdwbVR8+na7SxXOiyrW+6QOtyDjGeWXYzRN4c5+WXmYfW80LVLpqed+g2XtfRI9jsKqWi5/kSE
hZ2V4/s2i2rp/rKMDoNOMjtbzUDhxEjHJcPpDXe9Odtkw6rGIfUZTMseN654UN3UPkAd5g3ISRmv
U1vYj7LrWbPVAp+3gGupT2k3tFvIS6HYwisa07gyeiZRVtsjoSbu4GS459lQeY1Gh7klPNj8lmFD
MW+XxRqXc3t1H+8pJHWQZ1IVgpQqbOug5vQx7VyfMK41f5qglxzDpZnFxGkZdks5fSPIdNwEOvuN
M5n22Nvy1H8suJrQqFaEZE0l5YoSoMYTZ1GxxGaUEk8wkaIMjm1d9wrDp/kNe5GzqCOZA8Rhb1a/
7D4Pizh08hJ7q2bY3w0Z3Zu2xnBXsdBzopR+tfu/orz+/0dc+XswE7nyn0i02dLIz+oPbfY//tq/
5zmdf8PmRMqd2f4/hjmvyBQ7hPUTkEqy/6BquvwNclL845gejiwcHv9TnMX4Qc7TxE3L3/X9/5I4
+xcjRehxvIBa7dPUaGEEt/5i+NJWv9QF+bY9sK3mmsVod5PXVTvOqreO7KMDTLP3vLH0yhPDr2tn
+TV17vwLPweq8582gr99H9TOBORv0GPQDv+UiJ1IcE1oknHvE0/fKxZM1ymoyOKkcE7Tk9vtO/+O
+ewtQ3kGmx7GUptuzTxF2eqk8zR0AevQnnTdkt1SKXRyct3GWUgjUqKYqPrBqcVrviLKuMIac89V
bkdFcbdCcTHX5vBMrP08E4lh3dswSrzjNH2ZiuRoO+01MrZN+urVrcSFKw8N4F7xNGTUf/VsuNxw
G5gZw9UOPmruoEJCMuALrYdwmV2w0G993z45MzOSZN7nwrmbIiAZ7lUH5YPtHUe9pf5ECp2mnS2e
RRji/nmsK2vrQeiebQwgDXgHJx5DaseXB8rCHzu/P/ZC77FeH+E1xmT1kaC6R629d4YgHPN1cYv2
P6xcMdJJ6zZMzLyMaWl1C3bs6GvvF+dssm8fBoDIgG5JoYIb6ckHPwHKrpqNpQ3Ctna3IqsjYj+y
YYoVGzWXX005/mSd4+9R76x1Xfi/gWUmh96zU669TrUnpEklU7CclDXdoFz360DgNJ8sO4Z++liV
4iDNh54chG9CvkP5fuy0uLNMbrnEWvm0uOTCDdtk/hpR5tjlznMVhh1DapdA0mNX699jFV7Zlu8L
B/C5NaNVOrVviKFbTHQnu0PVqzQ2nqRB8I6e/3YLpWHdd9wVttYKhMa4mc3xlkDvW9JypfedBwal
bKTB8Gw5RBOsn6ZidzPH0zDqPHYHpBG9TCtLEd2Sdh0XSbmOtKJ1gUs20IMVksBbwKPZpf5zVjEK
Tcz6h3KkhEF7xU2FY5FtGpsqV9+mwjuXUBuwmuej8vHwWVPMHPQ1r6wnt3oNpFwueTEVr+MCxq9w
7xM9UvQ1Mz9h65gOuNgJLxQn6BFrv6uRGIs36sZ/FUbDcOTSes89ah2We+N6cTTvbUCMmE6XQyvy
Vxfq/H4ALD7m6d2SBOcRpoTwgQN6zsWd72V4zYpFMSYNb9W4c3Mm27YfBiZPg5/eKYAlVNarPcZO
TlVKe0z0vGIfpnejsM41ZfUyOqApM9DzKW4IoztiqDnlUPq1XQhYFP5XsmRMtepyVRiWBFVpSd4c
7jsA9TazVnjbsi+vDLddcUdNIJNt676qkA8btEdzeTHDaj9eh9+KyjICa68GrDWXXgwejYATll0d
nGvR+2hBekiY7jEWOaZ2cCGM9pyNtrfuhuCdFHAQF5m38Rcvnjl8oPJfAhozbVvH9RIGJ2ZwG4Ih
3/7owlXLr6+TfYGjg91eeRcutgddRB9Ia4ds8H6awjrk3XKPgVCsmDlW26KssQqb09UUnm+bQIdr
S+YPgjt7vCTmRThBtqmtO+lzBuhNPnnkCGEah7DNbqqsnphCOHDF5bh150yyFHl3nkzuQf13q7lu
nzLqBMY0cePMg4vBSvPV4FykivyF+Q7vSt/CACFn2XsM93XDoEA+B4u8JLV6H+aq3acW1ME2CJkf
z4/BBG9XRzc6UKdGJKuxkk+mEV3A3L2r0vuwlb0lkXlG9Hzv5uK1mINqp1p+Dvxms4FEOM6bBdzV
w+waD1HIx1NZdHsEXJEG3B9DQVtf5zb2Kg1kzil1OlxJ6rbt7BbZ/naKalcP+WcoEMOmOTnUbWrf
MC+jjgRMIRJ8+Itx1ov20EGbApVnmre4z1pAoHj7AMwAQLLqfbhEn/Z1/Nr1Ec+fMneln5qxnRvP
dsMoogdpzht2q2brFbnoaw4Yn7kof7FZ9Z85xBf8rZDHFMJ0lNzVRvgE4uBsjopwtwl7Pw/mXS+L
G7sRh0W4v8jUeyuMTSX6dn/GmLs3YOMX47SVBcx0Fy/5apYVIQHDDblbC+oDdLJxzIJRaXdQAGI3
A+U0Eu4ki4UA65IbN65Jk3gmmMI17a5fygfoAbRWGOK+L4ddF/A8yJBPsthIP7gZIufQLO5x6qdN
KY9+elVHyCo3hlqhohx9731wCljAPfM9uSvgDQQTqheVRCuzSbaK7pFWwiFtPuiKuq2i4HWU1gHh
ca1K94TGuJ/GlmBTvbYilPAw9A9mhsOFKPeqCB67BG6Oglea3aIOv85VuqJffR/xpIel9TaU6oLn
dF9cG/KCaJeppFh7fbJfjBSxdZRPfqI+ZTEkqOe6OPryFXYa+iD98YRr4aUwZB/OVnDWCwMRFx8L
E+574qQ3s2blgmIJ54ZX3vCCO0+nv9r5hPS5YSR0SfXvalxuTQrHqHBfSdPB49R0G2fI10NpnTi/
xeOU/c7s+icV7sXx1a3jy31WiCdzhv3IgGflyegthOacD7+VZ8XdzNKJath78tbrNC9h88Yr8tIh
UwXlB8Fb5Or6Qxj5ui/y82AOF1gqsdN4LC9JekOO4pVLxr3syRlN+nYgQjK31YWx0kcljHI9G+5X
FHS342DvGz3fBCKrSKM4jOSsfeUwP7GGz2EZ3tI8utYq7Asr/15k/QVM7ZQaNyEsrVqTw8X2xuW+
vemhINAIxUwvXE3Zo10dHRaFdFq7LMvMHFJVxa660jhoUHFuljw8THZ5MaPs10hu3ykFolLC/tmo
na/XmAMoQivMm0agcZQRcXa3uJc1F/vFfxiqMU4FFpJKvac3dXm2++cc8IFDuU3b57dt3gMU7Rvs
bdkLMwtmwIu9qcnKTfldQBnKEOwYQsDe63/ciLtcVux1xwfIDMKtbGvlA3GKugwOOG5nMKZ+4L9I
Lb+ibqDa3nWxl4zpi9cZPVVcin6dvHrWlu/eTwtpdT/tQ8xfJgebBr8c9794MuSxyMsYoElDp6p3
R2PPu8jnbzsZXvuxpAmBCWTgyhdZtPtmyl9yIFGeN8W+Pe4YNcX+8jTikWIAj3gOWMqr0AgZRSf9
brZQTUdSnOJmnLwonlJ9jiIe9aTBP/W7TKt4yO5VFx2nCk+LQnLsj0Y2r31gWPpBL+m26bepjzSd
NP3asCVY8TRl/8g2oIEeBrYixFsQItNuiZ5FYL+KyXzIBpP1INxl4qnICgbC3n7IXFi14baVw1mb
1f1o3cGPQAWMxyX7MLAp6I48TzOgdOdfE3lIf6KKqGUiYnT6yODOiqfO/x3VLynv5tzAfMB+nMtm
n0RcJCCwZOqcWTMOwPDJxzMduuoTeWllmtGwphEzW4WcHwYjeEUSaTA1vqBYb5aOsL99otgLyzxL
lsuRVOMDQK18pL909DYCuu0UD30BfTkJ0IjA7D0Lk3tzPeYZ47/qPATsyNLsF+jkdXHThn71bXhp
tKnFgv8ncSRnSBmpN28qmpdOLeOKVP8Qg5ybaRdS4R2gkfCGQsXxZ5yaYuMWkbmjPIq7w+InY5wM
YWyHHl4kzzO//bpM70On8k9mJ+h4YbGv9pHdFi8NSOxNaVXRwzI6V8+ASj8qTsP7Ev9TsMoNz9qo
VlDmEoU2fATKg6hBpEpFl9nBCmaxDyQMG75k+I1YsnwZlW/uKw+/aWLm1mPjS2eL+0ddwnSWR7PO
qxMODvnIfY/zMQczvRqZWN93NFg+0RqnY4gs7C15ivfO6ttTM7pXtPlsb4EUs8ct1LMlsxUeRGdg
vKnGMtoNTdvdQPsQG/aaNtZetByMqO1v7DpIjqUc+mM0MErnEMfVS8uIz73x2xvlQkGs7fmmCW3q
WQROlMcGf/2LKc35u21q5s/KpyGSAfDF1Uvzrh2wHrlzlfs6h/cn7EX1Feb+8GaUjjetOBrnF3dU
3pMX5elD5Jjzfc9w/daapPcwurm+SJTX0+y+jEwc+3CkmWhR+iHBu/hsuO484nYiieaFBm6N7goO
XHSJGy4YbqdsAVzNhvmRellAccAQguPT+isHOXA3YMC7g0LWX8rBysGlzMz2/zt7Z7IbOZJu6Vdp
3D0LpHEyLu7GZ3e5XPMUG0IRUnAejDP59P2Z14Cs7HsLKKB70Y0GcpehUMhFmv3DOd9xA5aTURIz
OiLA15rLaB9R1688GyZOhlqA5BkBFMNJiz3havWeETWnCiybGfBhKFZZPpKBYsfuG8Gg8BQ5nn6k
bi4u9dTbByf1rRtjQQ3iLWVEMFZyX00/pphMGJQg6wG+zZ0QMzdpXczDU8uTOTMGa8m+YgwMWF0t
v9w8hRMztsRiED8Ph8Z7keVyxxb3w0vyAyFFx5goV0cTkZ0uOSCeI/g43bJtQcoArZ/QwWjjGAG7
eO5f038fDXUElWyue8v5IjVtbYv002myLaqR9RBlO/Zu25LKTe9A3alc1YzPLjJyTCK0m7dJVM8E
yx8TU15y0hQca1nHqc2/uCcL4yLM5tWyumBbG+07ymvkSVFCRVl4z4MzvISGdVfPhGgYekcTZ+d5
Mo6RnO9QjQ7HGhDjxjVEfihKvN3ZIu5m2a+kcPI1kpZtoOJblYztrkopytsEEaxwMKl0O1BSYlNv
2/6tjxHvVO1NEOvZuST0qfxdl+3LH+ZD93/1RvyPsmfTmcD5/s//sDUm9w+eCengyUaT79JrAukh
tvVPQxfS36iYXJAsXv5Gm0+ywtRPd9OI88+w8hnmd6kuUxUtD5xP8eOYeO6zlbbpXRMqlGytVw4k
eA3FT//6qmT6rUH4FFxc/SbF+p3K9Nul9HtmXd84/e5VS5Q9jYiVKJ15NXv9jrLMqG9n/d7m+g0O
ry/zFNntCbKtcYpC3vVZv/VSv/9NUEHshgkF/qMNSH4dkf/BLpXHNMzmDbEM4b2wXbGr9dli6VOG
/f54jEJOHrMLp7VyRvsZDiznktVSn0dx3D0RGNg+mVVb4B/zmlO9NN1dtNCNBfqkE9oPF+rTz9Pn
IGxF+cuIKutb6FOymbvkGOMCZtsYI7vTh2mvz1UgPsBmroctfNjxMGcy/lHW1BnsF4JHJyV8JbZF
9jrYMQ3DOHJ8mzGUdzWPMTztyvoVEpy5LVSwtmtwLt71Eqj6zNqP+mZAxT18hfq2qPS9wTJz/s38
tmf5wK3CPKd6tfRNY1wvHX6b1RGBOatYfSdJfTu1+p4K/Tw+TlN1JuUhOcX6NrO41vDki2glF8BY
DAlvpI9Sf4X0o31FHWq+y7nvaqCROaGSrs9Qq+jF/DEGE8uK2ZYo4SIGUBnP5rb3BsiKBQWcSAIN
vykvfpuDM4xJ5RO1iC/1wJNn5wr5nAMazNDBCvDBwk+ncHsyzhFx0dwg+Ny1uE8aUniv39EGyANb
QbY+97SBGlzCZ4rXbVXl9xXx1J9SCXFTpBwSe29khU3eNikuev9UQnz1SL2zzfphsPMArJApXLWL
Q5u6hG5hjSUgY+BVeHKVahyWqcFYg1KPMd3mYYSZ1Wh4Vm+C0Uo0UGvh8SUcmRUhrK0A5laaqudc
Q7iMETzlosFco0Z0kTIVfNPEvBnSdG/tPiCEp3ZeBo32GgxBbo/GfQ0a/JVoBJgcPeMskynbctG3
G/LtkmdfQ8M8jQ/THv/ESp+lSmJ2qkF2IDiBRR/Usci2um05gAbYeRM2Y8ZycL9s7wfYWWYlVvJ7
1ggzlk8xVTFYM2HNZ+Tb5ooVIIcoD8Y69Yd3t7eIMGNTC05zQsjQVGKvcJdvLOCVqIGdvYwxJOTl
aMDKVu6OYSpjFbP5zHvzgbqQfZuHnJ7q46UmC7kSRfk0GjXtmMzjvdP3Ayy9PqvOsU80bJ5F1R4Y
HvxZw0I0kHr1DmbrgmRxaHeD4F2DykdiJPYNdv5AlKKp/TESawYmN0vek6X84bJDWRVu3exzX3YQ
rWxMikve81glwLaLYlo3lk7zqL2O8B0gc2bNfLFL2QfGUVBQWtQm7fy9q2ZJEjQVEygJ9jQyrF6r
EA5nMNO1hrofaIPhma9zjxHyVq5d3MYvrfTKm6pzw6OoETfXXLu3Veh/WaB3nzNBqpycOFCMovyi
i/md2iSrF561niwWbsKInEtdwTyuPD67PIi/WuRRqzxtudpVW0B6KC22o8nPeRbvY/5huuktLn+e
CEF+VOnfE0wsNnNW/vZaYhatikxT2cMXzrvcRuviiy1NR3RpGzFsbLQddCI0Hkjguawqp3kaLGG+
YHtkb+Zbv6bKtAEmpi9+kx+shoPLsOVIZ1w3K4/45XMEf3D2x5hZMu/X1HBJwFlONgykL0PoinAF
fklBPBuqYywMUhLHaHmHz0yTGdksuzAL8XWtzx407YblR5hkxcYOnBh3Sm6sHZehl9+l9SdyCvsY
GWSfxmOQHvPOae/Cyu/u8faX95ClJzbdNtWTUP4BInP3Y9C1ldJVlq3rrfFaeekaTBgdwdNjZWzC
a3XGieu8SF2yNbp46/nE//8aSweezs9z/f2f//H5xThwk4DbSn51f9xHCchK7H3++x3Wff+FYfm7
aeb/4sv+YTEkkc11TEZOUPChLv3DYuj+xQX5jzXbs7STX/+fv2OaCBlwBDAB7DRgSYUj/rHGssy/
aEMiCzGbeR3r038rL+CfCyqffRhWYFhPCA20hEn+aXvk1tjJ+rpXWwjjH+FEFI+EyRRFPdKGEVF8
do3wDPxzXdq//vBJ/RfV3J8pBn/+1n+CTIjU8rPMbNU2cDJAizG6pDhdOHHCn6NCCvSvv5vQP8k/
2W3ZkVm2BJQFk8gRmvL6RytlGg6kvrD/x39PrHKkQmJhAO9vJimy3dzW7ybLoT2/abXN815uA39g
wF2b7maglYJiTGG+aCFAdo8x59ZNJzB1uYuHI3xTSrcl2FCIUkpvLCItt//6Xw/Y63/55wOWoNn0
AT4IHij9i/yDE1Q0SGs8zHtbJjIYtm07JWG6M6hsBmcmn4Ep/Fhz4i+ZPd0HfZo8OaF7J+D9QYmQ
LboR9Z4tCOvRe38YTnmObWcvquxn5KNEQYd87BR5B9PInxUFhW6pQc3RKPdeFSP1kLOivRXms1Ga
MJjDvGE6yiHI6eczta/MdUpRNLjxo+Omh2gef6LPWWVjDMePlVE4dOsoyR5ILnis8/nJUV+zTkHA
cPZjSqZl789kB3R24d9W1MopSoPsGMi+P8KVKfdt6+UbV/LDTGSwOo1l70UuomcvMx9QXiVcNXxn
Ww0My9AafqZF5++rIJ1gh3XNDXrKaeUgB/YppJiMOlaf3M0NUTJOPqqD6WfRjrTuiTYoDE4OoQxn
KXVWW5C29yOJVJCeW+bwbSV/2KbwwUIn1Z2EjU8gUh3hBvI8JMwh/d4Yi5+1uwzfdd+Zp8G6GUU8
Uj4tlJembNtdamfVzvXEcip7voXJ9sIZSmtnlH79lSTpVxJV3nFk84P8FGWH41kPRst9Vc3xKczy
D4DbJwXRPRpgnPn8atx2bpBb8wV1GiaHsQjTTV606taSON376tnP+X3/6wdScAD90+skXUBCvMIg
5nxW4H9mhQW0EQo1i7Xt87zE2Ek2fLmuFbs0cLE07VAp7OckEdN5iXvjRxy6Fl4XLfIKE1Wd4f6+
TGJYL0NY3ox9L7+nUs5Pdmbm+9YNW5amrUn8YJW9tarvb/0pNH9ff4T/3a74/+e0GQLwNKfLv7rU
yvTz5z9faNcv+Rt3kOBSbguec4QWTH1NDvZ/BOBwQiFEgq/F1WIGHOl/u9Bs8RfXAgcYACXhStOP
y99lGQG3oIDY7doQKYAwiX9HloFf408PJvepx20qYH27/KcBh388KLUjy8MkUe4pzttDY2X9Z5mw
So2kHd5jb25vRkXsUo7sCEuIjEFLlQw+JwLbA7OkfUKN8ioJlPsKGpMdj+MbO5/1+gaK4HRjZGUM
I8qAFeK64YlVSkQRv3x6vYN+G44qzSTz9eLGMMjq5C32V36FLLkJEFfMbaMnxa+icr7QUK3twS1O
WVurvWC5gFrJxAerau5eFKfJNmGS9ZK7CbxuBbDoZC9OeUtBvtyVrOF/0XaYa81/+TknIj7w/cY7
rnNjJxwDx3+NmeCVjRvrMmOo184MOKMJwuyHW/T5Jlr4riFKfebtJJJ/DSZhbI6qIqQa7Xg0ysre
wA8ZNqosHsiCqfBixd0ptebiODZyuusN+HhV7CKfalutcsmqqb+PEdcdjEy3ENHYPxIZx/QUIC/D
vi4VLzPjyaiZpqeE9MlLGzvjSkAV3BuFfy+ccnjpAjP6VnnSvCfe6DwgBKAeN/USXCLimFjmbQsv
TJ7YMQriDmb2CIO6Z/RocXQoVyNvCcMswuQ8xLJ8HcPJ3OPJsanQ2cDwaKwbpdJPXUrTxYN6xf8O
eHFVjf7wxGlP+mEdf4dkHuJSz6iGek+9e3hh1oYz17+8hayYdJbLxg+mt1jUhyx2ATABvk5qy3pg
c4XEmiHVfeqPwbsDN/pszbVzQ3on+v1+yb+cTC9B6UTpP9PYvczYxy/lUusrGmTdr9rtFSJ4otvb
CZB0FjfjqTCd8DLi9DtwkiPPtyQu3NJgvTv732FDy/BuEyC+hcIZPLUI/k6527abBb4IGT4peShL
NBOhXhh1yTKVIck96ktELvECltNY5hex5BZqbfTFkH/VG9omIldnhguRSTDqLNQAQ71o1hjKx01v
8QvCXioCTdJtKga5dXswmUBs+nLokHx6v4F6yUvX40ZSQgU79JkTcUxiOnbcMheYpoQHJ2oToCPf
AeSTO+4w/znIjGFX50X+6cUGQ482weHlEm2OPTCytmnj0QIvM21XSU7sNPfV2phNtfH6ytw6S0IZ
SX79beFV80GgUtjn+M7R1aBdmJp9YZeopeVS34YyZOSZSiBd3krbzPYL+7YaHlKTkkA3zGiTRfXT
jZE6OXlyE7lo7OvezB5YlSY7pqwsgVvyN6zM2XlovFlLJiUzOFN+ZMnEwDwyy+HBStT46JX1h+MV
P0sWNe7SnpHu/GK76SEeyeShNhpn11hFyOGj/8aikazTrDFf18vj2DqPDDtmhthNt6HInJ+iIOlW
9ogqPUwKRMIJDja3ujTJAiadiL211XsE1Hl1/xbrpCTTypY9uxXzzkc7uq7m0rox06g7Va3tbJmE
+d8dtC4g5p592/Q2LxNl9DbEvv6EMo9PdXIYdM/BtG6HAWGmCz2N57jcSmvW9Nalnt6igjmm7afs
YTIqHArx6jT5RqJFre1+qNL5SLAIilOLOu5IpOmyJ3d0uUer4O7owNtVaEfMKcJ52pC4g+Yng4rg
YiVfWVgZ91mgyCkMUeHUc0/V2hMjCKHR/lmD/0LLkVXzuWtMa13gd8JvV4VvqKCX9UCg4ZnAv+Fk
qqk84UaQhPshWkC83N1QqZlrMh3NR15yJEVJrHex7OcSmEaj/eIllc9gZc7rbVZOPYWLE6NqBlNA
6E4i7V06pCBAkbZ/TUHxYo9Kbes52Rs5LBI+iEPuVP6GC8N9H0rjoW/Hy5zwk4cEkwESWKP3YHAK
pi59B5SygESXKVYuIluqCvpg2OQBFBTEkVu7idtVG/S8/2QTkZYK46IrXfO+9fNtZva5nvwAUQyH
VUqr1qeMUnsb5VlmOzfpUiHcI1C4XIbpxq24u1du6XRPGI2STdGPX5m0s8NYRdYmDIdbIlofmOo4
myw1pt3CQGGdtKjLOoQYe8LF6r3tcoK7hC5B1YOj1BdUu5gdHuLBf2HkRcbCwF+Aa62e3+uUYwP1
UpG6h8FDa8PQjWRHgrnaPGz2HXNcsmvC+UdCBf9oelgw+dvXuRwO4UA+LZNM1nrPtu1fRBHBbMJm
gwau2LadYa7cPDTW8dTG58YgwGVC13JEKaDWIT/5m8vw7KO1U2BTSmZHbolD2YX1U0TK2X5m1+2u
rWEYGavGZf0+LX50o7y5u/OLmR2f4XffReCgKQbnwDVINkKeFSWDXC/Y+AtBSi0RkJC8+q1n9u+9
GC7EQN30Y7pcrCKijYkF1yzhTyE2aywBKqmIUEs5VCcLpIp2Fo52e7aneU2QA57MuMNwoZc6OX2o
pQO2EO/VwMUwF1tLd8Qyi6tX1mfhyGjFn/rGoxW4O6/M+BRzDF5PAM8VoRrfuOfH34k/hxc14SIc
mWTduHgsEDyNAMA2VTV2nwvX0He6mHJTo07HFxbXOj9rUlxvSOmfMVsgB0cDa5A4mhHBNuaJepgH
s9vMtdvcstTHhN5p5xFmafOVo0dHoobTvlUlmXxiHvemAEu/SFgIPS4uNm2x92Rk8USs1bwUe2y0
ISPcuH2uYxgxrZJ30nD7eoUl55WMk4WwXkqUyKy/CeGenmtiUMhQ8r1d7+Tc3rZdBA/SqV4nf2By
PrBDK+MLOXhEmSAV7+z+3eqal4b2bWWXmf3AXKXawS+dd1x7wW0ZFnSts5n776kLRqSirIjc7Fca
O3vMyahiQV2w1xy7sd+Mo0Ons6BlLXizSEUknYqPPd1WqQujx1SHCtU9oQaPmRn/4kJj4TB8ta6z
10a9C8ZDtYssJ1h7ac2zC6yEe5cqLIy3LnFPm9Rb5tu6JYUEyayzsWdHXYCF7nI3JEJhnPx2E8RO
f4l0qqNfKwIejTatNykD7meOX3mer7lDnY4gooSHC2NRdTrxxayy5AaDhbFJBmKL1IJcjipufqrS
HCIasop7S0IlLFIyXihgi8npkW6a3Vrl/a2HY53cewJOW5dcW7cVJN3V6PpDkXQbwueng02+4Bp8
wmc6ezUO6Tw/j3LW8WzKQ0RaMaZo0b1US+ye2zG07im/1Un6gzgQ6BedVJjeFMakPnrMO69QqCSZ
bUlsr7LZYOHBluixUbK+C0Lm6mNafcq85N8boBceuX1QnnpH5JqYwlT3rrzmUw0VykqBc2UuFJR7
/L2haRlvblLI97IYjW0ChuqldIgb8XQHT3o8iwA+um9sMKRoQ9F/GOc5QvxSmu4Kf117Yv+Lwlop
5JwDAM2x8/hQi+gMuqa+9yWXVFTlG7sr+zeA0eqMnaz5qJLK2mSuAnSDL8zg4NGgjzHDJh0qktJS
1Jd4D8P1GAUG9s4sWC/M5Pf10Icv5RyrB3Kg5UbFKny0m9q+gCOqj9Rg42Ml8vKtiRqclcWo1Vvu
/CiMwlwNSZcjwbX8vUq88ndAQMyeJamzlooKuvZT50yOKIgdvdv5xAkDGmlYUhyEoxQ3BDEnT1FE
lYdmUiWvUMC4Msje24g+jC5Wbpr7yC7Mi4UhcINny0Yj1bbHcCksZill9KN0FogOaPg3GCqLL0cR
tINP1X2dLYKK+m702Pb37UfQqugxU2n+VEFcPI3olLnyrGTgoxce44QckZLlpOu21ZdrGT+QnbIj
wjimYGuxxKHePBjtNF58UF9rb1TlxWnxdBam62+XMPweyX24Zp55uzKfKd0mO9wxB5Mf1kQeS1QW
9iOaq3Y7dZa6idrUo/703MPcucT0uVxvSxEF33UXCpJK0ukYz7K686IkuQwWInCIMRTkTqlOFblP
3BpOsJtKJa21SO4zY0SbGFGZyySwTolhIUoEf3ERqEgLlLYr9L/Aff2OCLklY3xYi+CIhN8+u2OT
/eYHVdswqP0bWA0M3fIOasGYz7/dkCCWIptXEuEkKUOIDaxmIi4usDSPPOL8zMvwJoyjy5BlVI5E
2ot6JuJHusOawVzylhjpvBmX/KOSA6mDUerf1uiMCzKld6UJmL0S7Xijm3xs1uU3pqE9NB9S8Lpg
3oZNTH4MIITXmKWIjbEJeXPMO4eyjbUU4XToKPrGOjuUYGt2meVLRAEf0ssNrxFaQvRQ5lM6R+HO
CXdyDPdWprJTWAwP6Yg4Oxo5XGZKctMkUt2aL3rRtesi1t6YAe5Sp/3J4znhZy7SCwZbGPMzCUSq
A6kwEnqwbxaGsCzySjI2bR7UPCTKskm9OxySH0tsXiLOz20OFFDXBsmuUoaxHWpDbOnzwoPExbfJ
nKR5GOo8QRPdqsPQBsvWcHXSIxkiJ2vAgqhQ0t/1WBWQmPoKOjMSNd82IUo2ZnRKpt4aV5it4Txk
KUw9bBot2AlCS4gExVgg147K0xUEqzzC68VGk8L3EFfnTEqwO9EwnpnlgV6TxoRSxU3LjyIUvDw2
oaW/mhDh0SqMfWg6Zqwmc20OKbkqlvE4oVDpimPjsJ6UZPF2lJnuAKAnKy9pl1o/uAGbS23ktLlx
wz88zZREzmXBOQM08t4TEP4qrB6V8EDfsuoSDKiropzmI2whaw/2pNvju/MemxK96dx5/dElRezR
nhxn3w+i+eU1aWBuMEYmH1UVdL8mxA+rtq55GQcOTz6a4CaExnrs+Eci/Brn1cBee51UbcfEunHQ
aZjj69AnxROWNedCvFS1j62yIpzIbO5sfqcPAjXj3sO19hqJ8bvOU7GlE9JagMG6I9cWONcUBmvH
tgfmBi4OzrZEC8Nta20LB2cq1UexYpd8BkoEfwqi3s6nsFgFljJWeW5hbBWQzyjTMXNf2LT6T34+
GdugECMFd1XcmoW5Fc0CDS5yObGGKDl485DB4AGcEHTV8+Rlnw0u7GVODCSGyVeWOenRVw05raSW
E7SsaqQFby3Nj+Qd9m0LhUkw/yDO2DglcGYf/o/MPf8vooFykWja/X8/0Xz8TD/bLv4s/2mo+dev
+ttQk/QT3/Ox9UCv/qPXzAv+4pDxoaG5luM50vnDTNP8i2UB+0SJJRymofp//X2oaf+F8Tg5K65t
mwiVXPffGWpK78/TdgtytG/CPCVUxfal9yfdU2XWk1EaXbszC69AThtqsyxBSBhn24B1ASN37LTt
NLTePrjabBUbhnJTaPdt2wSo2QoRyRtBxtFutCf77CG4SNZ0Olh3/bGpl/VytfSmfSH6c4DRt79a
fjPlj91+bmwmccNQQ24DGoGUVDuG+2Zs0LSQg3RE+FITktAXBaP/Oc0+lmSaRopDUiy2IACpAKG7
gZ8yyzAiZGrwSNNT/TbysTBPQyAR1lrLrTIkJp96ydYB481trfrsEd2E+jXg/vmcr2ZoMw+9n0XW
le+ij6KGWak2TRduCJE5cvBSDwSHveXgr8GeXn3W9QhKZU+MyvTUag92crVj4/nqPxBroKBZ5unD
ls6E57k0azBLLZlbxV+t3VebdyZEbG7yq/3bu1rBB2zqmDwadBGriHC/Ow5exYFi9cFHfbWTgzZk
j5VcbeYje1TMTQ7GCXAS2mdmYXjtyJ/C7BLwnretnXd4RrSB3fC1mV0Oc8viq0SUeESX2CA0pK7s
+46hg+i6VpxNzivkPVNT7FRapj/trs/OC/Ho98znnK/YsqaXoIc0qA34eOzHSZWnOlvgvNn1OBEO
PNav7LVgOlyt+UiW/GhFYHbFhbL07mt89fGrGnCnWoJEM2ec6tHyolTBMWun12Hs8ntky/EDpLgU
wD54hwPAxnZva3BA+leIAKwQX2Jz6qELSA0aYOw04LKwRstY21cWQW/EszgYDogCQFJIkYIrucDy
a0g8sHJKfmfYuFcMhM3nVg1gRELpoSalOIS1UHNphNBgNCAhuLISrtgE5KfTB1tfeUZihi0uuSIW
hitugehuEVIKebjCIKWV9p4oZ81kGOm5t92V1WBWxgC7M+jP9GNCT3DkS5a2dAMZxQ7nf1sU62Ao
lvvwyoAAv1KxEGztQ6IRERbELELg4HTsc+zVhL9bsvwoBcEt/pUxYVWEoNWd6W+sK4OC+Vt3SsLZ
gyw4QS1pXCxUQEy8jyBK2YgXVmIxgusNgGq0BwEsklqAhAGBdZQ2GQg7hg79zqyABOAkMIBk0OdH
j84i0NwqzA7v5pioN+KL5E9vkA4puUOHulyTN1LN4MDr+NYPiRbT2HQUc2c5n/ApGR9GQNE8ZlQa
6BFMsD1Uietpk/W9c2oGYCUr8FlhuqNF6d/dKm5/xmlET5lfoSHNFSAisgWBbjaL2V1Fnsl3Ds0B
akToUd/eqCuIBFM9DrEY2cOwnjziOJFOX8ElmYaYQKsd8ehNjrVBfwfmJJCWToUPpV5im92MXZwc
KOJDeGA/K8dIPrMrMkVoegozH2uXaqJKyRtOD2228S8AQdXF1+yVycQdFwc9riOh+SwNKIw7eYW2
TIuXNJeIUvOHsZRkoZSOpohWwVnC5n3hiSKlooA1Gl6RMFwm80fWz/kFODPImMZkjcQSJxJ71NAl
a2J/+JU2zrQnMF1BA4Q9U14xNIR99rQvncbTRLm3PHHYuAivAgkuPTXkRVypNh71AybWOnsHQcV6
SXbS9yE0Fcab0lgcYAImM3jm+0AQMKhguVM4W3m/z6Ypqq/OVlB2sitxR6LDkK/OlcTTm5rKw+Js
9vfOldZDBJxJCNOV4tNooI+v0T7ySvmxRoA/BQ3OxrlSgNorEAgyUNSBCLI1LKgTdf+Za4BQr1FC
QkOF3Mk1npwraQivvz9oDggEIsDCYtvPy/DpBhMO2UTDitgIwC0aYDCw8eiAGWmsESZddhpWNcqt
VdtVeWjCzkmeTKeYXP5smLwybVjMVR/LfBdw3R+zSUBRypyF+lOMpvXFHNO/A0po/zCMobgXKM12
tpr61zyaZHJfYOjhQBHUdCs09OWPVGOcytyb7HWv4U4eZs51nDSV3BqLYjo+DPnoP0caCgVHRBQb
t4AB7f6VGtXiBiXokJAzh+1MB9M3dNkRVH4BJ1STp9xh1sm+S3jfN5pM5SchlCqkx5xajoZXtR4Y
KzTD4QHAprkTJF2uHY27yjT4ShhCHKJ+iJ9hcMZgEZGs1hqVRSpn/4FlbwxXUaGxlZh7aPv1e2is
ZO6X9P2NfQdS5LGHPbixPfVGhC8vZsS4B9iGxITthjc4thHhAQr7muLUPEbwPdbw8RWwv3rGMpkA
BqN9JTLsG5zlzy5yjL2V5NWmC2GAYzxB6IkPfnLeuoyGa0soKU9t7LZAZdmGjvYR6TezXkZeaX0c
HQjWRC8i6Fvb2DZZPuWzrdaRn/fLbmokJJcpll9VpSqQlFZnvcZwoxb0yV3iHkYwHtNl4fH5Cj0P
2uY4UOo4MbQe3crhyO1SVkhIpA+Q1IytGBSa9pjRcz/heAcSz6Qtt5P0SCqQuY3T1H/M0GXu3AHb
cjgEQAxlIn7LJOw+cmm3m2mZ25+GIveT0YKTEFuQ4idy3NC7+GxWcOCNpcUWIV9SPDS4vs9zWhnG
iwOFk8DWcUhIDMX4XW6ESnDbKZhmSLB5YLBh1ygHybbsbGs7NNF0rBPDviiLRTIQDTuqtpXV2+84
zbP0GCx2+y21GqnwcnzxjqzzY1G0AYLgwBx8gFumvFsW+EmQepvgdlzq4GwCY59ZK/bxz6Ju7ZPb
NMQlh0Pc/awFDutVF1TzD3QvXbqBnWoHa7a/S0eHGkLyopnCUNiZADaRaeeksM4uUpqMT/nWagBO
r/rM9r2VmLxTVoCPq0VFewuRuH2liMKumgWW+NWquXkntDc+5YUrY8JIJcQ6LqXpEqEI4iZhH2+s
fcsNMevaVnrX+xZOB9tzu02N9HrZWFnXYP/H7Hd0G0sSncxhB5+r0bcfDTpcuMnk+4m8WG4BuiZi
PSFm2BSoXx/GYKlebeRy/tqVSXWUQF3f01H16aFky/QwYGSqNjISzbztE/7KM/uhGb6+FUa3U9qC
e7RhjHyyHlAPoi68x7BtkF+HwuvYgAwLo3yk5jwngxvwM9t5b4LNSjcN848NomlCEQ0K0wc3cseb
PtR4lzC2Fqyg8eK+ZiNVMUdGDLwqMXFNb2XsyOItctPqG3UYNJuMbF7+yKirozSuFwh+fZd/UiiE
j/MwzdFZgokzV5UiRJvXJmCNkhWJD91RpYxWOKBn6L5p3L1moWOx8OKOvuurObwp+2HY8go030Xv
Wo9jNsTtxqqD/CFeJpzBygxexTC5ezEEwXdvD+bLbMjxRrqu8TGbITwjFMfLw1il/QfnL+WCozrh
rNHAp7ClnHlGum3Kowmr9K1KZtgtPXfMG/ITiMNOBgWPQ8BMs33FPD6kaLax3UV2V+dUyiZ7H5O9
mwQZj13mwL6hOHn+gOSoGmL7mLTCy3fKZPDFSILbDcJYrOZ9yJIsOS2dl924vYPCrXc0mydJsZxv
+iAPfg/sFH61DYNJ9JB9KbYtvdQruXvI9b14nBprb8YAnPG0NrFzSoAbQdEDdUF08TKOWJKZWATG
Z9W0/mEGKiYJqFxylxiAMkWxiwCKdmeDyKaS76wJLPnoYrtlLc+TRv5VNlkunrew/3Shn+mw8nQ3
diDSuin3txEYZGM/lY6HZd8TPJiLIYszfCsc373tDPZlgTflrgDhwlmX7rPJfbOcoGmED1lATXCf
95a2SWlrsTiTnwD7PWarT0KzjNDVQ1nxbMbLw0CnkpduwxqsjJVSt/FSUR4Br+6Rxlh14Vww2Jbh
ybXaIb6To997dx4pL+MhbVkTTFC5HzofCPtZutQkzzPTt2VPFq5r71pMmsmRlWICuy+qm+KAUZ81
P+Dbuf1RLLP5GSRp5un9rxv+yLyoBMk1RTiao7yzQ5IEklE0CTlpcOAweAJUt8ScsFuKZmH+sL2h
7XCXNGO/VgRywSty5+DM9a3GQyat/uTMhQWa0G2tAwFB2D0jRrOUgd70FJcAH49zAoB/FzOAlzhc
+yi9rRxfhyqRQAHVORPtDvLzYGy6aPT2ILyD8ITNY+p3dSq5uwKi7cNTqfpZCTBkwkQmVJG3uzUM
L28/poxyu1bTXNzmWvcLWotsaygEYyfrU2lCxD+EMkAR0rmFH79ySXnt0Zm6kjLHHMczex1pAln6
n+ydW2/cyJal/8rBvLMQvJPATAOTmcyLMpW627JfCMm2yOCdwTt//XyUq09Zqjqq7nlooIF+qXOq
bCkzmWTEjr3X+pYk0/wB3JaVPGMZ6cubqGvxFznVYrirQ+hponH6a/wW/peE4g4E34QKYNPwcUAC
KjmRFB0xmcEHzYQgIA3ctZgTuO3WNVTt0ElU2lHm6Rc/YVCyqmHDXMdpxZ5IQvZXzRxpGIOZuE6a
6Dbpa2IAlUwhe+AkyozVbPbw7UYHt4Qkju1otDnbVBFr4QuCG83AwJlA36PF0NN3zuLp2xQp0zw0
GGUpWEXfwG/vu7tOh4LWOZHJ/m+jSeoxR1urwcpuu4jU0E0BzfUYjTyxVC0oDjehN9Gfi7Sof25c
D98eijThsAupfFEecK7Zy0ZFmCJ6UtQaEpL5PrxlJpLJiGaiY2bGJQKxPiJROcOIi1xJaJs6KQGf
lHk8kqqhBHpTImq/1yz9Mhhro3loEJDweCUVKCTNKQ5gtDRCVN3w5FZZ063bfNbxOEQ2aSJzDkPE
ziLzllmxtZNVkh8SJqszKRdcDmdw1JH7sr3nyvt7y48AdLTYHMpgmJtDJYrxKWpE9GmaJBCBOmqT
HehB46I3dffQwelD3ebp2ZcIwGCFGyb3xNotSVLaDL1dCdC4iZad/a5DrEO4RO5vNT7YpzpK/aPH
cDJfjfDHB6TB4VDT/299KPWhU29awiHIaZKJ6DcDUR6s2LXv/NRA/5fpNZcX+lYSoiIXRMg/U6o3
T+3Tm38JXp0BN90PNd3+aGAr/Nv//hkwuvzN/+gf/uPHf8RfQG/Q/jDG6E6m4Al/7Vr+/iO/ewu8
33zDW5SOjrAt2oPIKn9KMT2P+CLhGALRpf76338XYhoeqdH8B59+lm4vjoQ/mpYu6UU+GiXTfW1n
4kf494/+u5yfq/avs1bfWgvIWbVM3hVlBIoSAi/tBaD1i2KdvVUUQ8HBxOpj7WJWA9E5pby0QqO6
cMcBYGtNzIFFQR4MVTQ+yCGNLgod0U+NR2yj00ehaYllMYkbpCksUrdAf8dDif/qMnfH+G8cAosw
9A+DwJ/f76LA/+X92trktNKb9L0vM0yPFlrFiv2PIMWQcTddNIRs0J5zEf6ExP3LK2W+ivc/eul3
VgikmnnFzjLtZYS1a6aTc06ZyGwJlSmDpNPKzexnDE51tYAs7atxYVnSwc03Pq79dYIaYz/NBcAh
xq0r4HmoTgmJQiOLfr7i6jnmeJWxT16GLREf0i1Lwm0LsW9meVv1SaAySWdL0KMCpIjWvEKA85hK
bZo3Uz3U12WcM3xp8+6uN0V0SllCmZaMMsgqWBi5L8pLu/PlpaIp9CXuBmQBWlWCMuBIP+F63aqq
DUTxbepjcUAvvtPaRONYFHO0G3TxYA3leHAhBu0yM/MIvIjkNgEdnii/IUKuNLrHStpiFxeggFCa
UxJFACxgLJVETCQPthNeddNww+lRsVdshkx7tJrCP7ZwqS+mxP/czIa2A6x7VJD2N1PsGKdkji4B
IzF1RYO28aaEVmMnd+YAXLL33KcW8MkGbUSxYmZ7wYBZWxn9dDWK2N42AL2DjrTetRbTtKv6kQSb
jiFxmMlzGc7AGJXYq6gk8me8COcJKaWqNj3CD0xy+Kpr+p8hbTBT1FsMKeOmivJmK2d4GKi/rMAY
Ksg9IzPbfBJlwAfDoyZJ9rKVI74OkYoCWFZ4KWkoTaja5M3Q+eYFTw1A/e4YTj5+Fc9AThmP92Ov
9TdjDhtqzC2BNLijUz5UaDa1e70Yh0CqCDgWOzpazjK+8jtiEHrTzE4ITnCcJHqALzA8eIUjdi1B
EweLkK+1Z5RxUCM2xFrv2LTsQQP04AjuUXJc0O0KtLLv132cH2ZTmZuM0y78HO7m0abLRDI73VLP
R8VDq+w4RGCGRtkSfoE/m4ik+zalZoPjuKsZTuIsvxeCDcehkW5gctzYVC8rJwV8Z7awl2tANIVr
mOvMAE+SdRWTYNx7vW/vbb7NFeXJzrE/FUWDCNikURjbFWKNDI4NvF/Q9FmCuaRGqeJ6yY7glVu9
EOKIo5FHbWCWMXIAWJVV6x6nskrvElPXNtCPduNg3S3yxk3qjfB0iWhYpV1ydjwAMlOMBoIsmxaD
piBkUDN22qB2tsG42XKiW0BLHrIbH4VpeiDA5FZ6jHTqabxvR3m0K7lu2/jcU2ShLQJ17/bB2Hya
s/rKxQW+dsGXxLQ+OIClEqYFsA7RPaWSzrYTKVgcWCnz4r7RKG1Hf1vH+TehF0FLqbXJXDqsVCjY
jk3r7E8OyXK4r2VSkyLgX2hKvxrd6CIJCwNBLWCLFRW5u41Cp8DGapbNM0Mrm+teiDuoUNsGQ84t
QDzymyUB2oXfj0xtonElCuVAbxtN/ynOCOLCjywP49wAzM8IV1nj/jDpHFU0sqcWIH5McTbWJl29
imgrA8/pqiJ9e6Py1L7xQiyZGcjyy0TU3T7TovjCZF2k3SAecvwmCzp0OE6wyO+Vj5t7bpHwmZEm
dgxb0GRy6ueoWbgCHNIowOB06rYOyakbOrPay5KsJ0YA/EV6mYj10eq0mRKMy0IQCtOFMswpsJ30
fiqSlnMUYHontT7RtowDVbl4ksEqr0DcNTB5K3U2aq9bC4+DSAtLmrQUnFVJirPKbxp5iJbZfaIp
sSP4QQauQFDml439mDMScsOZ9S7hjDx79CCwgW8YYc57NRAArenlixsVexpe7Q5ogrHWUHrscdt+
MZEUB5YMb1wJRU6PQ207IpEBrQEWetAS/UBLqTgjLrn9Zab6ewXwK56BYuP9Bor9w4C6ST1JEfFu
SKlrVqxr6XKC8subUhKVkUOM6qBuHD9+If2tx+N1q37zSu9Ki7Qdi1gQALHvo87eW6H/Q5/JH+FE
WRJO4Dw7Bmqr0bawGi8rb+UO5ebjt2C+ncj+fAuOTo1j49UT2FreVgsY9oekaGYET31OMS0sg1lW
BxaTriqqX0XGvKz19A5Cd7tPATqfw2UliWnDIcAO66M/0BYqmxJ7QaJuMMr5UIkUq3ykF8XZducQ
KpUgSq7Poj2dxmJvjGMTKGSLm4ZMPlULb48G4wXpIIGleNPWucpveB9aAHn86ePP+1ff7a8f9539
MLGyDLOgre81uGO3jaIPPjFo26DTnNcfv9RbX+jvV9YVoAn5h4V/5e2V1QeOlS19j73s3JeWhj/Q
UuuriS91o+zq8eMXM5db5V3pRZrnH6+2JHD+UvXBPsz7sUyMvS37a4ae5meT8L1DMkTfdYk0pnbS
9prmcHzhtca8bzWGmEZa2YRMRe0l1LR9wje5ocUBKK8et0nTtRdIi801p898IyVfYWoPAkRYYm+M
qSyuRRLDd0kVMudR57chAaShqZ3GpSipl/LEok75+HMuH+Pdx6Ti1x3Mep7Hx11u518+JhE0jtDY
R/ZOTehI6oRinYPwoHRztGsJvCFbdXWW/s1X+VcP6puXfVdTw0JlcSuRnGqWzaOh7O9uqrMzKxAE
knbuRTGN5xA7xXW2VDlIDdK/eVD/8i2wKJH6qnu+h9D97SfPhD42VS71vSlJG2vYEqXdXKLpCNek
dKHyqRwCPAX1JnwJVv16+/GV/4vbmeS+P17/3ZPTQaxlfB9Z+zbrvpqNHM9tEZoXee1wY2vR3/gy
l5PC++8Z/LHNd6wbNv/79tPGg9RUC3Zkb5tgefUhHVayIXTo48/0F6sB1/OPV3n3mRoTt1hml9Y+
b1EsgaKjI19YQYuU9m++vr96peWjCMhgnFb/tBhUflfAKBX7ORxQZ3j658zxD+wzf/OJ/vI2+fWF
3q0DnD+6FlOzxW6CJ0YO7VViuNbOp5uxInfJvEujlsFwtJTHBF5wFKja6vLjy6r/+chsCeHiTfcE
uiLO7m+/vTAeB9CUoblHe1PtZ+Tj95Vh6QfJLHRfkcNbVn66iXrMMrKfKN+iuF4z1yAQJteeNFem
QYUru16qi+KYRvlnR5ko+6XxCe9U+TcHZvPPN5sliKX0PZoSvGP73W2g6YRO5LPirUXdEcdkudJj
ARFwzjAmavPl6DtjgG1q3zUxwKJBVisOodoWIgzlu11k5GCwnKq+OFCmhgG0bMZdnGkaDQsNh4iX
qhqig6hzSjisLLrb11ARiUNlXIrYTpNtUM0ltVUV1sgofxAxr6+moc7XwumtU9M0P0uc/7Ie1K8t
qH/7b6SwM3nyeDT/tcLu/imX2T/OT9+7N82qnz/2e7NK/GYihyM+wbeXlfgXEIbzGwZgw8dOTkPs
p/ru30EYEOB9OF94NH1c5pSX/2xX0eFyFxSCY8GBx3WMD/lde+qjdtXbR8+1XN+kk8Y/bF6N5ebd
o6dq0+uc0VEB8wdwxTkprFr9NbfMiGztlvoqvbAYU3Arwx7/5Upd/1ydf62b3z5GLg56PoSgRebb
+IiFWP781705bIw8HbQ2UAtWnYjL4pT1MvubCsB5V+rwOqwt4O/RSnomukXn3RI3aqByBrrOgQ6x
bB8uKYuwFae14niwWryaSHgSeJXMb3ZdJSSZdLr4xuQhCvxqBAcVt1aDkYlU7HNvIwge59E+Ingh
Y9aW5kWtaIVL1fiXpmwwBqiJQPsQptq0D0WFoa1ybyh/beCSzM+prJx7E6HPGm47v9CdCVmcmYBd
WSUWg03nNJdMclOYGvQBSrudtxmIwBYnQmOeXWumdSFqRnkVcak3amJ8BedCu3dnC8uxV/pXg0mA
kguS5RIJPgoy8t4eEglCo3aJU4VSSMR25nQ7Ouz20Ucys7NZaA+zhUgUr7G24L/JSEz3lkv0jGsD
jt8oTXbYo2u7NI81Y81qZ7lmuIskI12ci066ZkLrfcVfCm02NSrjFiVTVK0bFNMMNDSuWkOfb+qT
5tTidUSswKn8BiN2/yMPJ/EFYVGDSMDWimlNSjE/ijZ6eByiKE7hHw35XWE2n7tas4nDxFftG+3R
K6yjXxTVPkpUs++VJ3dJrX11OuFfis4anU3WQbHKuqYDU5ImHbnYCXoxqBYj9Fy0UnxZKTxlD3wt
2ePpzvAizq1J7ZWnAvXtAV83gp4+Hu4js0x2CE9APijEGA0hysHc8XU3eiqeMhpEAY7XJlzDFB13
KQDsnA7iCbFptE1pcl6aGjNcwDbFClYGeWFa4+0hRCbB0um2N2Pb6adJDnG1JrbHXatkCCsct/iU
MpXPW5pMFudmj0BvzfC3vWXMG6ftms/gnLzPC1Hmskrg7Y2RffT0Gnf6cp+3kczWDKmtSxNk333v
AOCK867dULs0gUkEHnodn6oeYDmHNE429y6eaH9l2yq986LG1zc93AGd6FZfw/aWlrVOgjRjx6+J
15n6tiINV3CJRVFv0qaXPC36YKdba55zNESDYfVb+hPz2Stc87mwwvZWmAVDOTdps920wC8GYF0/
iF5XsMQb/2HReFIiLvQMwmrGk+xy697EyqtvxnIktcGKif0KirEvFaoUOySBWdPqHSesJFkPQhIC
OaY14c1tGg3P1TTij+7xIZwSpSv9q+c102527WnNuuRRM8xO8tyMKrse8gTTSNRl9400bAJH60NT
IKzxsuFlXobPuRqHbVqYpLOXC7VkbJL9FNnyEhZbfABCiGGRZABAQrXZ4/aOq6OwJROmbtTbB6C4
/rckNMODVjrIXW0mYkUzEJIZNbm9T0Wd1BuJV/hy1lUcTMTGfTbDDL9GN+h42Wb7KZz7YksusXwx
HF0nMXMoSODqPXxEvv6UR7NzrXckTIcxhcE0es0DsoZyl/WNOLVjlAN+tutPBO6ZD67nW4cYIOqq
YqIVbuy0T9E3d+mwqxpofytkO2Ozhiqoq29I2oroGJsqwg6RZJ4FFF2WQwBcNnxUM7npKANegOUS
sWhBVpoDnRb1vDcGbQb3L5MpKB1C6aYYAY7PgNeDia2wbkSiZgpvj5OzanBgqM2Y9PKJO22cVkUI
Oow8KF+KjQaULpiqGNtPjM+ZuNRqIFrJNLs86Nza9U9tNeUXs0nI0La2Uqb2nmZ45Hd7+ldbs30E
ZnN/qIUbfm5MQ4WbROsH4s4KTg4B/l8em15q4VPsTAgGQ9zTR9Jjh09dUgAdCxmyhww90/mGTPcl
Sd2kqRRGcnwqkrE6tziVjYs49/yg16Yv06AVtCAjLkzRZ9pdQY/tBzb2HhM4rePBNfouEF1HtwbT
fYuRnzrwkZsfrzyuYtwo6H+IqKTPhpS6s2vUg/XQO3iA3Ro4egezCJHTUOlfxqo3FxVNqm9zBk9k
XXR1+wVcYmMFblpZn3OrEo81SPi1qGfjm+xaEjWs2d/47ay2IouaqwHB6ffGnMszfnE/wehMPj2g
gzkk5GoOy90UIWNY89fkEUElyrKocs17bOsOKh2Lh57Eh7ZG56F4A3k6kyySxzPiu0Enf24VpQmV
bNqkFUSGzmK9ILRYZrsynYoWyZ3d5WuQZPO49ZD7aDs4Bh4HjWXfAWtVfmLrCUFVo0fr1uXYVw+p
bOdjitNmy1cGsyDx2q3FXOaEC5cND6movxK12170ZQ+rKItNcn/zMi+umVB3a9vicai01MWrPdnX
ZEjFMdYW1yS0l9wHJtfwIGqjOOWTQsuDFumY013dxSkCqBU2hQRypWP5pHlXZnyr6b7uoH2bG22F
p1QsDzqm3rlVRhAJ3/tOOj33bTdJUulL0sde1PSqRsNMiyV8JKVLMHdf+4jAHrHnWBvinNsbLS13
ZuuM1/Ggw4ROh+iT3tqvJFZ3HSqBWpyoAyRBRW6vY9dXpyaO4qvGbXhsDUezHrKy7r/1kyRmOZUK
TKGAdMlZxRHz2kPhsjItW116c3yaLLIsVc+G3NXNzhJlRQVhxPekmAznfq744diqAe4CCURln5ln
a9Qdko+hHdyObUtkndVC+AuJcmC0RGIVggRkISutnLEE+s5WiqjYUCZ/s3rN3jDRv0qnSKzyKQSN
nFS8Hj/obPswdy+w3Jc7Ej+MdV5V8daqzGHR8xbeNRG9WJOcRjfzTQo9jo68U5FQgXGMUGgLi1jJ
TUUdRCH0kvfxfIZwNmawaLX51jESB1GeKa0EzRdvCMZWjr3QoIdOt6BTP2hnw560PNl+6zzyj7d5
2yNA6FVV7fHsihPZHL2xqj2Q3OuEXEibpdXG8+1DshgOC2+HXx3R+lylREMg9p2IiJ3aecGFW41H
yWezH1ad7D63+Ik/D+TQBW7koXhZShVn1TpLEiXHTousk1o430h0dG8sFQ6f9HnJPqx7mV5EnlmZ
a9CRPrPARpQPNUO0MdAh17VcUt+/rptqPgP07PeqcK2fwglhGMmVGTne44gDnqGT3qFUTT1nrA7h
KC2MYLnDO+kXNN56kSUzkrHxyvspTlnCJQ1inMwhme5AGtloapsRJVsxMT/dC0LkT53mx00w0Ss4
xUle0cSMeBkk/IQf870gBQ+bGN8NcCUWMSzZdnNS9ZANV0VugWlWyIiLdYboag6siODkq0iMXrFJ
osWQVk0zFwgIr8SjSEFsb+0pNu56FRJf34UuKZ9Jbxj9he/UvbfVIYCcvTLzL7reZbYa52KkAqYD
uNInK72oQBI0VGuGd1/Ng/GZ6GsH2Z2f9Be6hUU21+Htzyw6pCqzVDxgmOmLI642yBtCDjWDhREb
1AaLq6JkrUbIxUWmPXlaLcGiazP6QldQRgUDUxGJbNhr+m0rHLwafCe+uoinMPycEWb/SRGqLQGG
tY53sFuO/lmpOkRXtfZD6EnIvEWniyHYVQ7TiGZlXXpx8ohTAfQ+6qH2M992dQkcGyTonJsMS1nM
92GTGcfZwirk22F7yjG9Q5UJFyULHz2AOup3eA2sEZyvncUbMptCMmYpj7pN5df2fSuMGor9x6e+
dx2nn8c+oTug+jgP67jF3h778IG0XSYtwgOJTUZqHD0Xsrhj1Pdo+vmdYRdsrC5TAYrMrw08hpuP
X//1RPtHq/Dn6/vGchYUnDtt/91xcGrm3hhmi/THCNVz18N+XruaqXl7Kwb7sU77KjcYfRfx94KN
wwCAVWeYWBC6P+rjZBNlXXQnp8rb21S6/uXyYdYOypKzNkD+wDFFjNgi1Vt37FjtNUpColJeP8T/
9GPuPwaTur6u6x97Hv9v8f0pfyr+8VR8/8dZfiufn9Q/Dk3Gvza/tmj++Zt+Nml88zffZo7u6PRw
wZotCLefiiKf0D20no5r+TiWbQSG/4S76eZv/Bc6lrRiLJfeCbdyw1A7/j//C44pQXkgTNFlG4K/
8Z+ilepvxxiL8VF32ZChstKlsT1+25tWCRiAhqMbLKd4YA1ObLBKlZcGiLYb8kBURe5d9kKftlrP
fvpc6g0TQLZqdgt2Zlmy63kFIGpwHOtwkJ/6kibqx4/V+8d6eYsezSjfpl2F/xM865u3iEzEFnoa
qZ2XhyPdHIviJ+YcOsX+qa/rJ8scz07TbZrIaFapQ2bV/9cbsEzf4FK5/iIw+7WdZDBg8RBCgo0m
NGxFNYk/TgeebMowiOvKWHdhiDDCZ0xFyie4Bd7Hx29hWbl+WVleL4FDU1jHG+QI75Xi/0tDq7Gk
oYB41TvVRRxzdPe+g3Qm67+DUL7TTb3eDh6EO16G/h1r2buPSmHegNsu611R0mpCs+tv3bZ6LMnt
3pJKDFGaIHIaTSjJ+mGg00Sq3EkbjRsbnRneenoXJkmuT01CfqEaDXFrpqgiludi59ujQjRZTjuV
W8h0K6a3WLddpv9VtVJd3wZMXwlD7YxrlL8wmEIu5FQ7X5qwOQhFS8SSdXgREYG1QgtA6pU9x5dT
+DAPFndrPt+XumdvcZ2OZwqRF92cQeP32XOhcSzMVHiePf8H6plbc3Y/f/wNLWOgt98QjwQCV/Yf
wMR0IN/eI+5ccOCRdK9sMySzfpy+JGG48SwcdaEBidsCKLVy697/m2HY+02HW8OyTcyX8D2N12Xk
7QvnOOirBl3GzmtixMXIsw4Q2dq9QasMWjnUOqA/PSgZwz5y6qjImKCb43oFX2g2GkEWR9vOa/y1
7fJM0eZMN36IGA0h9wTtDajvIpfEh8vBM/j4mr1Hni7v3UFL6YM+deieinfjDtH5Vj+5cbbDrlJs
6MDZR5py1drs/Vu0QWWQurRy2rDNSSLxkCTrh0XSSIYCgLPcQUK+LEDWuC3tk+M6I0ktKF9oJ5Hx
OPFpHDxHa+RT3z5+33/+ri0HHiZQTBYkG2PE20tOdaxR//K2SWlasjNZFAg2TX9eaOVU/rruWvBh
Vmb8p4aRy+PJK1tLc5vO2J8rjM7gMND5KtuFfVOt8aEg48IcvPn4871rn7++irnITNG3E17z3htf
ZDSACaLOdvHkFjtXARJRYfz88Yt41lvNyc8PY1EGG4YLo4khxtvLWObKdWPEGDQvsxe0/Crj/EXD
G/M3IeEWD7mvDewtfUt0gT4zWrezFz2y5ptqTgA8dTH7zuSvdav31zmT5yCeI7HPGm7yNBkMTKIQ
88yCvDxHm7bCgXg2TuogEVRv0hE2S69nKLLBDgUSpUvglfZOjKxvtj4aBC74GonU/LUmtvUTQl/g
fAjVeTz4eav2aLHM0JaNmf9Xj6NGnGoEUI+z07botGIV+5W1NfBk4YHDlFchVArb5DmfCZNMzBtc
KuFFWCX+yjKTF2WQbtF0Me0Fv9hro0+wDaiYbUZHjkgkb9XBF1whyaN91nPaf+3EFlFjrAGqYD3m
HrTS6AEB8LwlLek+5uZgGJHyvs2bQvr0xePeCEyjfdQLnvZhWb2nKW0+Vwsxx9KUtxnHwlinoDqx
FiTWky6wgyvDRdk2yGcCXr0NhAFjjSWtXtPG/FooI1lH4A1uexQJq0QyxnBmRwvcLHnRYz70ayGc
57zfqG1vlZH+cFJ2zwEdZDQMKBk9Fu6hq5ogZQPZMECgm6K0R1fARrJC5a/92PTgVJvhurOaeMta
VuwwHT0jCabfvaAFtYYdOJvQjZHDd4KqdJfo/n29OMmRorUb0s/iHcWPycaCYTYz+WqKhmhZiaE1
r7orCoxd6BbPSjRIXemGrzSXAEfyS0qOvEvre4l28DJnW9fZS+ErA6VwT7+qP855+oLn09+NWEI3
Edlwq2bIyaE3L0nKNNYePNwN9MZzGpJupNfsAXD0UrBPgLfDivsco7VGZBH1FYl5FaTM9EWLNO5Y
vtnJjV5okPNHJGl86lNo4kXkIZ6FKAsAPHopF0V3ES9OJDl4G4hip9Fl2EEbGyvjnD/DVMuuOp/M
UqfXvDsUhVtCcJ6ZGpb7eBLq6ITuPUGOfEbK05OTdNRWyxdDZXBuHNUGMCT4t+XenegivkZjrJoQ
skIVy2cP3i0mVPPG9AjoWtJ4PYg5WJ/ks46uh2M39xLDPm78Yty6I70gPcfLs5yMfQqZGAPZz0cg
5w7TdfOmaaEO2T3FJ3rY+bIA0oHebak2NH5fmVfmyou5g0ydr78RPC4VpNIVh/P4NAiEWvoQynXl
cdNia3t+feO8XaoYVA/bRGNPQyYAv9xmwIHf3992LdmydYWYM3PJJSx9vw5oIBhrF+9fMNfuQXde
hxl03mRLLmIy9ifaSIjEU7rFYxsWiOqzF61ZFizX5mf4HNy66c8vGHDWjZHVjyX24ZUzJi81wTtL
Wsjz63LRuelLO7KNeT0rQZFEvADZiDh12EEqwB8rxSxnhQA8WXEYoB6aqaeokt1Vj3iMSWhyykqP
lKmaVYmFKiU/tnq0jfL0ujuB/+V8H3EFbN0iQtpJXnAPhtdGUm5ziiQybmcrUE1Rbe3R2LCefi8y
FhPT4M4tKLpWnJYfMKOz5Gn83p61NnVI/cNzvlNu9txSXy3L2VRwIZj+nV8Xpc5mecE08piMvDfZ
OTT4UFrWmX3DeYdOqs6jQvjU86TJZO2ZKkGDypf7epqIl4LFkabG/JabtXTPr5+QzvXL8kjU0r5Z
tgLXMW7aijf2+h1Uhn+WOWw7eCjohYeTFyXgKIvltinAJoSGnWPsVY8isfSTrZKXtIoy1H/cKor2
5c+VzrNYTGyU0eVks6I6sxawmgxXjTe1wajx/CY8mYg+Z37KI6EILGl40S7fDpQ7miBzeZqjQsDC
5Tkcq3m8eF2JGehQiDlksg6SSRt7PAm4swdInlnhip9weCfeiG+PP/UavgA6edVWlkwEIc6ggIdm
u/EWTxHqJ0aYgiv2uq+YKW+qWYrn1LFvSL0KpjiddmZIfx+ydb9e7rBxZjGOK8p0Vhr6bXxVQ8lN
p3wWHvRazF5w467xfRY706egWL5d+COPEpzbyo1Z9TkFFbs64hfWPaeC1/U3W1bHEDbZjuB2wmT8
stzXSdMyapDPWIxNQii4q+2OB8id05MDw4ruO8tNUunp5rUc7vCGBh1wtkstzKYHuFuEMYCUBclF
cSXG9Pn1XsEy+Jx48Usxj/eEDk5sGAqFSs+lXnab0GddxJq/UF7blMhgBzQb0TC0zfHIWa1KV7bB
tK6rinrr9hC4LEdJwva4quhRqc9td5vUdbzPqpINj9HJmVWyPkorbg/WAKGisRk7jmY8bjB4+tu0
A5YAiIt5Tw0UsWyGaYAdZuNRqOboGYhYpyinLbntdSigrSexoLoxpcYoX7DZP4aqaLcjJ6tvmp/O
d2aWMNMrUoC9VXuXFHW045wjNwaAxkfUlrhY8qmgIjblJu70kAnVLPYRSVn2zDGpJ/iUK1CRqgPM
z2VYly/EkgnU8IDNIoVBc/CWA1waUyfXszqbemzB5hr1C+FHz52WkSbrYpFGgmSCU5ybbcrk4Tgr
HqeqYLFfjnkMJ0lp1VG7s703W5uJ897X8vosbQKlxiKR66HM2sC2crGm8V2uxiyyqFGIKYiBpQHD
4Yr1xoJJpWBrccmt9LrI9iLEz4I+7ND69WPGyGTFXHpe9aYzXPZmiXgELMCu0kGeysQKeXlwP0XL
L7P0jt89F91K6nq3VZ19kUEVibJo+IF9Pd7ntRcC+wyBRBrQYdwhSKLpW4dRHdE3wtFYg8cBtA81
QN3SQzYYxSQp0YGODlk8JCAafqgh8dtLZJdJnKzNZhA0+SCKCudaw4aFRJAyUWACwSwXwBonFS6+
xJhwlCXrL7ObB10MF8qhXezJnBhoX/tROdx87gDq3Bh1I0g77cluWXWTWjcP7WzdMN0yyDIVsHjN
dFNELJkiIb9eSV3bk/EF8nfMeWqXk8+cMiAQM8uS7OSLPpb+No6pn/SQlYYstOnBbK16+YZnqLPs
QFbhhC9DopVrQ/eyT/horaM1i8cezQfXpXksQloceVqrb9HsWyxvRRfMjgs8uqQIjoHabmFuqoPg
DJeuEg2/++s6bmnpyRTscxGLg9DtNtD60kf/AgHq9USPZ4jlwOQx9SoKmULoN+boAWMsmCepnPu2
XG5RDsw7axie/b7zdinw79jjjgl96Mda0bNoshUs77P3xI1O92HXODrHQnbrlU+Z3enxc2qXjyLt
qJFtcdPMhHaBBuIOjZvxQtfjciWFS0faja4hWZ+qiRF+09VbEP/q2AhDPXRa+iVhT4sIP6mJuLwY
FIuaMSTpZTLwbjyqqlXjt1TXy3I64z29TDt2vN5rq+1ge/ekgD8zPz5RYIzXszsqqkDzslLUNUz3
Thi0Hc6NiHdaY4CHPOZ3qFOC3ojnbWtkfFapnLM1JPG1gIz1RQqufUGZHOipe8gs7rAq424AH1FS
YHFNAQpxnS0y1EvG/MdIk8N9XoN2xkxL4bk0r2SERyRN4/Xksa6FDXUOmpnxrGmmQcC1vyzSS2AN
dDJq76bFGjJQYxpzX+0KmazqknzdLNJJf+2aAxOUl0KLXyJ2e6XYhyAznSOT9/m6ozOFlAuq4Lle
7tWI2+QcWmhVImoCDtdGkJiTBiSSF7CWPbOYSnriy6kFKNFINB+x0F2kHkvG1+t+6IarCGwEHmXB
l120xQ7/XXgx0Zlc+SIbr1LQtLc1yKV1LvRAiwTUI5r+24wTffC6yyHnLU6yNymjLHCrkefrp6ji
ZTKDe3iMzflrbrrxdyVHyMJYSOiAdJixyo5Rq8bdRN5b+JQNDb9F5S8LPuY5Z4Rzytj1Xu9+zpsw
eolQ/H/Mnddy3EqWrl/lvAA6gEwkzOUpX/RONLpBkJIIbxIeePr5wN0xI5EaMmYuTpyLjt4d2q2q
AtKs9a/f0Ky+AkLwqzLnxhtjqCTiumCMdSCizNwkFea4AFXKnrHADf3+HFdbgM10uQND1mdXkujS
UENxKITVNXSwnMvMJ2LeMpK1MCMM0DnGACPTbe5i8Ir7/4nRYWTSV9XpJGbGXZqPnzKPepVx5yo2
xOUyjwU2IazHYAKMBTKoFKudK67jFfWFff129/oj+zSyg7vPG3/1N3gBjBElLeoa03TeMar7pHf7
MJnSPZHpNOISwFa17aOuAAUTE0bSbFgpv4K33M6wlCKRdxw11b3SD56u7kwvJvUZO47dUmZ0rmls
Hde9IzbuyhTjjLeCaxwQtHWbaCBvpBr6Kyc38Nr1WgrgNvz2BmS+9UiuJX7GbR69OmPbr8kuuGa2
V+Cx21pnwpnGE6ca87OF50dTshSlLj1QKzlDajdFIdQqai/DtP5pwjpLejcdU3mDCImiIazTxv+W
FRWXCN4keUuhFxxTyxr/5xA5EwH0QYiPHVAB+Q6RYvwW5SE7ZR809JSeOwQnTQci4QiKLlRe9/EC
pfL7uP87tpuFNfIXEPVfQDHPZ5iB2x4EPPDcP9EccsK0ikXa7RO3sVeNmKMDjmDcQo7GdMNI6nXk
YGndZ7H8Aq6yBH/1n9grjFZCcmycJm0BlvTnR7OzSZ9K/W7vaebBikN9k2ANfBMPTk6yclV97xAI
bQNzZqqvkquyz/tbvxL7SY7W4+er++M8hQwnAh1ciT8Yy/sdDtyJzqzIiUj3JNoY2wUwwJaLEroZ
YaMq+zoOOV0//8jl573/+UgTXJvxhGn9o4X+bTggCwLTyKHp9k0gyfnWk7fVIf9kZXilNnW/Qi0+
bLBtxpAh7PPD55/+l93MnACAFtL62yjrz4ef81Dx5zbavfYoxlIAnXVBQ/HFCv/LYwVlFhACF+/P
D2MqblOBMF61+9liJtrN8OHqZPyOYf5F42dPU8sA+vPfZf3thy3OpR74tsXcZ1l1vz1WXdQhZUne
QkVNmlPkYnCCWrs+ciQA5QzeHaRGVEcm6Jlwwpd8zKZ9P1rVCtNCjM/7+Oec3X/+nf5Uvrwhpssc
0YFRDbf5w+KCs1nHvlmxx9Lke1mp6dc/xW8Ku7DMRn3x+cctU8Z3K0uhe3FtUH84ezTmfz6CTriG
Qzhws/di96KGOb4pDFVsy8CG80XVzOjaebaz5FtFKExmut/q2DHwSh/OCfD52XoDfugqnr8QdSxT
2Q9fyyemg6XO1nbeM8ulN1ZTiM8fWa49OE1G8exojhqoolyZQhy7Up9FgGQPuBlVu6bkFRkRcQux
UT5a9QgwRR2HTklgHFMWUGYdeTEQa7Bqk+SH0xxgqY2b2aYEgaEnG3mNXP2VZHR4mmGXkA0YbiMX
pMYlgw4nP2ZLy9QRIilCajNL1nbe4rAul97aNEltDQr0E4EBAWaBspax3dvFRlJEffz8lYmPz2aZ
JGNdIR18dJ3381xMHseWxrDahwHtwqQ0FIQ2RMk55OBicPzwRsQIc2xz2JN9b779TKDVtZ1pqLie
C1QLF3Q9JzVMFrMztspkStQvdfOcUpU2cEHPlwSNFa5xAhO8L8+zN1HOnweaiz5MOEhBHYbSS7ba
7zsPLINzvqbYpCiFNuJ7xgZMDZcUFz8zgSgmcvIzqM311kpc+P1ZvKsHs/riWP24+PH0gF8nBJN7
k5TIP78FSltZ9W5IdtRUn4iBByNYCXHRO198kPh40jA6REuHxBetkvv+pGEKEmiRpbiL4TmbJNQ9
1pTOO2iGxWs2NyAcLqhUvKDLGCqWqwKl40rgaL1GVRFuhip6EbTwMXZAZ25Ovweb8JXnm27LpWcs
aN7Bt8/Q6AOcYoF5MAJ6l88X3t9eGgM8BqAK7pH6MDku6FwFfMZqHzU5XqKZDX2/GOGcN1SdOCXo
rRy6n0u/NKXAT52OXqfc++LE+nhAutAimCdKAcPwwzWRia5xK8uq9qZd/pL+RJazwG2vy2qyVqav
Pk18nGAhdsAEgLkvnB94zX8uEVlaLZZHomJ+OSxk/HLaLGPJuRFwLq1QAeBSUCOY54rw7PAyn8vH
kkydcyenuLfN8KXyrOk8s/V86Gm8V6md0plDt8VBoenPEzlcfv6aPt6jfGM0PhTEDif6eyJBrUYX
Ph9byzUIViobrOCMFASiM+mfgLLJNjWzL4aWfyn4+TRWBKJuk2P7/U7KKB2GUmM2HyQAm7qUNo34
CGu+tEeMNlrwVGIj6Gi7I1og5xRN0fUbZgjejnm1IOUnxvMN8z0akpYELIBQSfoDAUs7TTVbSVrM
yKHthl/8iEs3aPqCiRQWjZNg/Lxr3eU0ixV47TJ+sUUXX0PkZ3WWMjrYM7rEMMW4AaXgt0yLmZQs
hnqV5eDhz9BhF7lLMR8MCFqWCSWeP9dvua5vs40yg+XJzO3H0gk7ccvHjSYTiuC7NEheqqpm2KG4
LP43x4YjEQzycLGze093w0sLjyibYyOc2ugKQTKgAO3LTii7XQEsw5W0aXJjX7wAm4NmK150MWgP
RymRbQuHIDwX8cY/Zz3++4xGJzQF0C8rtWlb8fQ22rQry4fzk9cnOePuiyjhJXy+KD8WsB7nK8Ur
jBOUYurdeV+HNiPY2m32hctl3I3o0mGjsyXsqD8Nax9LaHisT7YXuBvp9ukXd+biKv+unvCEjeAN
zgtcI+s9v8f3xtQfxqLcm+SZbUpRj1fQt9utl4GE4+tr3xeVytexjNJjh4cJ1hjckKMBjh0v/6RS
JCqd6WKoOLNMubuYKGE0C/ne/m7ihZdO5aOBk8T6bf4AtGGhrGB4nWyjIKofVbVMAxQgewIouTfz
BeMbFzh3ruJreKz2vZmpTWX6Z3UPdVY5pLxNC+eFJJVX/sPQIzPMX3aTZHs80qd96jJu/Pwl/aWy
8GCSWh6Rh7Rbylme4m/1MMZzaZFAk95rhhRvA4LcXkbCFhOhKmYbzm02wMifj6OZmniXUTFgHMzw
oFqyFYEozQ7iVI1zKrf1dbacb9q5sxP8Q/GieiqY6GMuyCzCJS1l//m3/3juecKhomDfE275oUfq
0Ng0pJISjOnZeytgvrgcFelEV/yGRhFn8sWp96F4JgyBc0DSlNlUMqa7fKXfnhfeKMFUp3SCQNvV
asLmBokx1/HbLKZ5e70dQ6Ge8wUmB6SRbhkD9i3WPBLt9LbWMHwVZJbFWPSrw+P9Rfn25RR1Lftt
YQ0tf/7bl3MmL0kI0kv3caQl0CDfAQ0MUwDeU7Y8lc8f/18+btniMJWkRTPx4dpJK4USoUz3g1pW
rZufTQYFld2wdugdv+qI30LWf68gXc44ThQYnRDZLDrHP39eVPdMG+s42kcR+Vh+jHQ5smt3MxIm
xKgJQ8UhpSKJC5y2iZFXh1gNwcGyDNKOsG18GOzcv0r6Diek7rLBeGirHYIt7aHX24E9ugFdaU4z
ryr2/oDCqGqL+KyQiQ9bJWe6ObfE2sX85XFfO8vs+joGDj8mHbHUZdLojVFiaJ14XnWgh7GjtVHG
w8bGenZtov85jkjPQCT1tg61vSdoQp7A5TCYqKSXGH7bGOq6co83E88Qr33MdIwEn9k0vCzok3cz
7lSbrPAgIUf8AYlCL9bCtrMG3RE354ldnhFp7eKQex4sjlIpFR2IIE7Zq5g59aZIc3kCQVXBA0v9
ZOPkutgVlU38S1L3A0yLIgUlC+ReutrD343vYFRBCL57W7X2ZRjFYmOADuNyiIt0aszWd3wb5B6/
UvXFRpPvC3WI9BRhWK/REDsm/fqfL9sPkckaGbc8DArv8Nb3yAzWSNGYTLappRKRm5eV1sU+qAYM
sIkX2opqeYFIBzZejVstzB7qerd2k02cRT8ykUg0ZagCuBkcIKXe3mK/m2w8DsgNPu7FjiGCjfEy
T9uTKGencrDP/OWvT8r2so3EnXJhmwwjSVi+6uS2q3MMZ5LG+wJwen95QftjQ7GDqWM4aN5rnTk5
LSV16kHqJ5c0mlZARF/s3veH59tHuDAMFZJwS5nvHjBdmAIICD0IA0m1KXvg177uaTOqWaAGJdJr
MoyvuqL3RQEfytlpU9zQT3BsvDuhCAV1Eieq3Z0uXb1l+FUT4Gpqxm6pBWGAkZ4hVXMsazMgyINw
0M9PLOt9be9K7jnYdhTw4KkgLn+uqknn6Cfy0t11ToWOCj9q3racN0myfGCg/GPlt96e0+4O2CHd
4/Tbf/v8O7wx4P44xpbvAESOHSUJ4CQv/Pkd2Da1K2rD2SVOamz6STcH9PM1jfiS8ln3sb+Oc7N5
xoM7wBfdtS/KEdZp0QqPTEh33hAgikPLYCe7Ds+rR7MRPErdUN1F1S7HHelmmKYGBzyXn9NG7pnW
toOP6qDvRQgrYTUWJKMOfnslXTLQot7Ivii+FruBP4ovlwIWyNSR5PoAtr0nU2Ks6tiaK3TXsavO
BlmPO7MKLVJAyv7k7Uf4mAVdmUPoLjI0CyezGS30bM6bzII7MlOCbSRYxFpGQXjwwwjD+TIx2Ndm
gyuaeK3gYhwMslLXHclsmziU1ymCo21Vx/3JPEfNIdMOaTBq9vYOsZdMtfEaWyS/anbQyDrtDMOn
XGbshbHLK/TR9WI0iA/gLq11czHy/0Su3EOxiMKbyVDG2gmG7Gqaq/u5TiSHUHeiho4va5vZooju
z0Xsto9GWfz8fMnIDzctjxMQHk6lCxQs3/dale8H5HVB0AjTGuykM+o10aNncTjc5hj24ahlW1i4
WRgbO4RwCxCvdaIqD9Nm1KlGDHqVMl/GSI5tlhQ9KSJpaD7rKSENY/bnU/4W56zvceMfDbs4ACR1
Kx66s8dK+MecVISQJQHJaZhIM1Bp7J0WuoDUJ+q14ZT3XTZ1u340yEId8Jib668qG/vDaYXPFd0m
sJEiWwq49M9Nk8TtRH5LpnZWz+WN8bz8LsaBIRhfnHyaziMTo0SM1w7oI6WR4zk46+gUPamHR2lM
+mdEkkKelfk39J7QO2K2XYq7HqlxKiEMfqhYmE5obAhumzdmzRqZUNOurZi44Y7wqu1Ud/txiiy4
BPbt0MtHEiey1UTWWRDFP+l1OvxA645UEsM9hJA2zsMi9q5a6sltlJFb4fcZ7XgRVZt8GNu9Azaw
txn57RhMstB7PnL0M/kFhvO3tcPkwgb05tz5UBQiZ4+YUbJ2sCJ6RW3gXS17pe4qxO9W2H8B47of
bi6bVyRhqIHkCmxV3xXIeQdWZXYtJyx0qk3CHPoRYll0iszdwqmBwCxpBskF3uvRqfBqDrya8ouM
oxnvc00Fj83/mmniQ+8HZ0PonAezIgMUlg+5CFOYlBs9sa/7BMor/y6ZRos23mdd1gnXhxjYzZTt
r2Wj52uxSL8tTfCyVZbNAS2nxeRwLM6SxnS2KSraXQQl/tvQZ/UNA/9gY4mov64wIFjbAp5GaltA
XM6st6FBawOZyz8ykb1u0ccc/HTi5Jj9DuPHwj2rUVecDybHclOl6a5Zvg4T02wpxPtvamJtNT3X
DDpXL18r4ZJDpFt2YWsQdUkaER7jBSbsgYurf28xzo4Ik935NaE5TR8aO82DXEWu5WwjsCAqUDbE
/EVV8JfVwiIBi1n46Mst+ec+axyH9GYSdXZeDSknUTy/Gtvc9Vza5cZVbIjPj7aPn8dUEUY6JRaN
unrfpTtpATN4LtUuy3MKkIrdAG3OP8I5IoR8Jtjz88+zPhaWtG1vNmM0vAzz/OUb/dYkedDbtAhD
ewePSW5jDGABWDznLM4ZRBWzGZ2OPmrasCHitOzqA0YtvEd8U7fYl1uEwBWMAgY3WI90zpi5clGZ
Pa/aLO0aUoLV7ivNT4mdsr7JG45rVSyXuwpqbp44u1JF+Twtx0hYqADGNYvOsbJn+It6SwgXxzs5
CZsQbPIOg7LmSAjredZH6Y4pw6vGM3IzD+o1dbNnEfHdDRThu8kL5lNwLbG1uhFgpazvsCzmpDI4
+d+u1iql1Kq9MHqEUSZRr0O4tyD5whFhN/k+t2TEEjwto8w8HVq73eO6z22ap5DBK+qSlCS7dZeT
kWQue3USnB913k0vBUGd27Rnnc+aJZ7WeKvALObuSTl2EfHr+xjR6Y7nJhGN84Uq1y2J8uKu942I
KcCEH+A/f5qx3nERM3a1a9DNlzBDNh16yvUItWA1LbduEgkM/ePUZbNwXMTWQD3QjribYGB3jFrT
O7c0A/wON4qj34beoUG3ek5sFO8ppIIoAh8fwhLyN5zvdo9FRX0RW7CICD0vuRf4mQYRCxe9Mc+b
qreabTeVzh6Nkn8Uecyzy5S3z2bnmzO5P3L4umsC5sSR3dkTOZ7KLScYq1hN3p7QIkqWmDL6bbv7
Do8PpimfYHALVIQ1rKOc5x/5sqVp53W8rfb/Z7rP/w+94C382i1noZf89y5b/5eUpecf0XP2f67q
55+/muh3Jed//QX/lnK6/8LhXQD3Y2qFTdviB/VvKaf1L3RANupE6707PGmXnCH82wK1ps145z+V
nML5F5Nc7Ln460BiUDf+T+y2aCzeVdJQIOCXoxhFCIYL/nuvO5T61RRzKR3rmPThQ0ca/aXbKDx5
CDRrp9U4dllyIMe46lZuVUftKvaKTm9KNxJHcLFk61jk3s1RoZxzy0Qhs+pHIndXcEpi4idRbq9C
DwXN1sB14mQuHYQuqhbmFjxPhhelUnmML+VUPTmZSWBxacWEDXKbh/TR+Ah4W/Sd7n0zcKRarYun
sVf1W3MaCCSLPfulmqc03Qa0IMxry6LNNgURm0uOpj9c+1aXxAfMAAhXFqNJuKEekxop4dzDPCZV
xruSQmP3a1cV0o9JWeF5YUr7mjqvClap7kndsJKhUmttaEzhpZebr1GM+w10CY+dbtuGfVMQgI0e
LcjDR41+C06JF0w/pGO0V1WSBQvjsujWxK1gXS1ru3+OkmY8Kk/l4FqVEz/B+2iITyNJCCasaTIn
cOrNkAvnaBFUt5IFNetiOSHwMEKscNc6YnpkfOS1q2IWQcsEuYwPBA7QLsi5JqLFnpJcbavGleci
t4bzYZyNU5lnUBJnG/8jGeeddSu4o/BJxhci3OF2Kv0Hggj1cdJ4/W8zH2/nNeZXQu+n0TLIo8zC
to6PummUeUnk3lClWz3Lxt8l6CC8uwZ5yFKPMN0NkGc+MvtESznhn4BF4hGlcsHguxq2/DX2qfRt
ffBSL58uLUREIWYyEXnBoesxeSboZFgnAw5EVlBgod6Z400bm6/JpKdtkUKjGjjnCCEAHQZDEqta
WwKtTjOte1I2L7iao1UuY4X0wW53cWpNsAchqOMd6QxwcP3OvQVYPQ6VYaFsJMnjxMhw77GT4JbS
KryQWf8gKkln4zAFZX1A6FM/LTJoir4+DgSM7I3MzJfZDvlV1BNbCYB3HgpZnDgsm5tcVsbRGft0
nUibR4d9+h6x0SKFrk46B7JBaKDU95BJzoGHXYKJHyqmayuyjvRZFhHNIEw7+mn3Tbb3sFV5iFtV
XPSScOquX0RUxIFBn4+6leqb8DL1KneLkXp549Z2ecEclfl8qubtzIRtIZSZwbcwG2/TFkv7CTOq
49QNRBK6bn1SOREUA78MNu5IJJ1dJqi2E3mrSyulYAoR44Yi2DlBhqd1QVQMfCpr1RPqHFttd66Z
DxOgFoG0JJPq7rKouuqrGmaLOZOgjb6E6jlqL4MIryI1Ty21CowuRRhgqQTXGAY3U39Dl0oujotB
UVH96jqS2+FXrAgaS7dZ27bkYzfuZduyy0LPgKi3RJBpyqRH0NyKw0jekVy6lhPuPioPfmZWtLfI
W7nipjV/1UnMSi+r08pxO0BNAtJNH+v7Oh1f3aI97RigrvVg8OYrma8NfIOI9ca4ac66FnqDQskt
SX+QMc3HPJXNWRIZLqKwPFvT6I/rwXXh4k5qfjT43rskCWb6MlvvpUyGcy9KYYR7BlGBqrx12iA5
yRZjNeinPd1h7W49e7S3qRyL67qJm63lEljDKHi+gLdEuNNEquKBwHHidwBqu42TYIi9tu0CKyJy
sghpD8R0HydtuSKLcrggabXakuiZbv1IqR+trl8rLeXG7Dx9MjqB3OGM5m9p6uM19v35lcJ8HsUd
xlEjzNCXsiqKnUnvyo8nfOHKbs0Qci5u16wETsIWKs9WTdp7GHwR/qzSHiryb7fq1T+Y1e+OjM7b
EO93LAseBzNK2nJmwEvb8A6SL4mCjZLIjI6eaHpC0awhdzYtYb6XDRqTb0PZ2pxxJcqCQWq8YgpM
TO8KbUygJ5n1swu1n5yBsmJOlrYKDoNYDFfq5e1D3re4pgYTL0b8igIaaAa8OZb5nhUdVZd7w+WI
fh938HQe7htHpjcTKiRJbqPv9Oq0imfvfJ679CryMGGxMXtqoNpLScqAaAmYk2IpzCLnIW2mEoZs
OkHpc9ErYwbF374KXGQKfpA2x2Fwp33H+X46h8a4y6J/IprGA5N3/8SfAM89QW0nMxRkwAvtPda3
1cbBRh4JPEA6pSwmUS11CENohR3ZyL3VeiVIPFTGtUOq3nTwnNoooRPhy5PtIbHiozsivTvU5qTy
M9eOva1fO+GKiZvxC4bXdNI0wj5mYanndW2bxk2aOtV2LFuFm2Ajrxpy225RfG9nWdM/xBj3WcW8
SGQTq7zMfYygPDjml1BI1UNhVDiDSRLc2kwzHG/xKQpNBqaVGbU7GXq3kfKKdYNCNJlOe799Lltr
30UoFASY/EWVvPQ9XTQhuWelRX+jADo3TKSam8hM0Y2VPDjqjXXR4Vy3Alk3DsQwxM+U63C4yf9Y
dW5/0hrFjRi6+CIK8gjyt3Su+jg6uICzR66VFAzKye5rtyqDVQNGfpzdjt5jqhqyPENEMUgJisdk
QpxkiuplHCK1rmsbvdKMBNdibV5qV1u3cah+uFAVbsqInQeLpbto8FgKd4YXNcbao2Gbj15n2YTt
9DiE/cwmu3oEDwYj81IS0vfI3NVFNVe94FBWanzwZyySNn5uVs8TPJ0n4m7t+VYFhiA6EJbWtHYY
azxZMowuvKqVF3FUOC9DEriLxIdpQkjexwutHvY/udMP68Jq1d43sEZ3IxfBZp44txJvsh8S9sUq
FYv/TTF2EZZQ6bxXhNGsM92pc0J/6vOu7PyeWW0RfleE1N2YdmufZwnnjdYD93yHN6Vjk03jOIZ3
p0E6VnYsnWeqWpzOoBaE1mEwdXaCeZGBfA5VjbkilSu9GQo9DGvGXDLemnUamzRACzfOpuDAJ4jV
o3fpOFabkBML5mQ9d3rN3DS8yNvQ53GKhGvfhcbOBFnfTGWSPyx48i+iMbsDpVdLIohcQk0rcsMI
BRMkanldcagmf+b08xDbbQdm9veOQrORTqm8KO28vwkT33/sGjrnOLfBS+ogvJmNlJJHEid6y9dI
76x55u3qmKtptjPzxPEGMty0rRCIe417FqVZX6xr/Iy2mGI0W1GLpwml1AnAC+oJc0qTp4xsxccp
GF77qjPMtWX1/cEyix1Relxdg0rUPsVW7DvcrDoipQdaFMbfXv6MtrW/tarMfgxGlzwYkff4mYWN
8LBvRcB2ABmS3+cUHTGXkvFE0lJyE1uB/1w1eryz7AW6AnRPgfBFQ11SWOQ6ECeWbcGgRbiyyrTb
xXJ2fnSOnRwqA+u/rQQvH7eqSzvu1RLQeG2PLUGlXm1cwLBDC1gEifRXogjSU8NO9LnducPGJGTn
p5mTPMqea7wHOva6hbgnDImDmgjpNHCIexTdMJE1Uo1xvq6Mmsloy2XxBH6U36rBS48DPo9w5uEs
osOxAcHsoMCYgiBFia+a35xw6GH0YpK9mW3KQOfTSo2D+N661ZQeRnuIXoiBpWnOg6zHtRSbYS0C
RDRZ6jbzqUeNbVqEr59OI8fLDtaJ+5NoM+ssiJ3uJEpEne6ZS833yMYEecgt+SZk7BrfikZFV+S2
ei8lfpu3KPoAGZclSfOUjhmLIGQT4oMF+Ohp1si6Bps6QzCD1ThaZfqfMR/CVduGebYCtg6vkA7M
d60ZG5dTMnLYu2YEZW6cM+O17ewCOVku8AFsGlNdEBUPiMdQsz/XCN2e5kjKF2DGCY1eIvQvUl7S
o6WdALNcBs2PxQhyvUvhqOK3YtuvIu77DQoBHD/zNkZor2OXtHoCTvpVnaT63oLtOBC/PhKfbJhe
ueISJSidsMjFYrcZmfVFRK83deJfAlb6Nzyf4mJoLapOp6mfcj1YBBvKgkQJipeK2CFdPeVt2epV
7rVdvQ6MWG2tcBiPtW0Me5lzAmwSBXyyTiCrhKukGstLRN/xZReL8KAN2XirwQ4lPnPkC6wzN+uR
JSdpK4iJtsGFirr17xGNEStGwuc3C4vzF/oYWa4SPOfslS4mZ2IpkDNeT+ME0NaiwcJ48VGY5m1v
tPou7zWhVx3cn0ucHczyqk/H6IAfnXpG+uvyR1PWXsShGI9aDXjBj6J57LRsXsfQ9PKNMZQ4pJqo
tmY7Ce+nIeMmSns3OpIcEsGidb3oNESclu4ohI3zsITXvOsq7NYiECZGBjL6VveOOJkK2dYnKT4U
mAF3BEusQmJsLwj0qi/x5oXAS7gbngX5uEIJ0Bxdp/eesNUZb2vKrXFjIT8+0io54c4aZXaEg5/X
u1ZP+WbuWJ1oH6fSvdQW85cNMgJzjSPZtDf1IJ/7qaiPOBLg0mmlpNb67oTMqLYHEqzsigosApwk
pF4b45VRk4cWZ2r44cqw/RlWmQFlK/HyGuFhv1SsnBPPtLM94iUMTtdw+vWmx1oYAEINLmVRMt2H
Q5JZKx4xJs++XyX00lWE10fep5S/mo09rUOygjaG6+ljMnftna2yxMITYgTZNjNJ4lmImn8FBUSf
ewbB7wzxFv14Nz5WpQzSy9zIHdZwvZybVWxOcsN5LrFtYGR1RVgIVUBPJxzvR21P1BduOeN7QVUE
EUaUW9jbA4s58wnB1m34Y65nedp4XmpukZng0O3nYUqYNJPHU3hXGs/LgTynkyHrjfCI6Q1Gu2hH
p++VT9lmdkn+bdS+/qXSwSNa1y8elEqje7/ou2nVC3PYD6ZhHUsLQNVxxu44FZG3nlFdvqbWMNER
Q5tE/JpjnrvWjddvJitooBoqY8+VpDfMGOjjTJqxXLi0+SFgCgQxV/2w4covur5K3c2+BfNP0ESG
vnPiwmvYTRmDJCxB5lsSjc2LDHRmI7AIXflBMxJtNyblTeP4wY9yruDLq1rfZuY4cWc3TbcjX9qg
X2xlfDMDSjEoj7IH2zf6i4wMtruycgv4YDMyKJ61eRm7MOz8ogrOm8xUJz0b/m5qKf1rI5sOoTvi
MBWPxWvpucWlErW6Y9lTCSf2iQWqfRytoH0M294+zR1rPnVnCwapkt0Rdj4+DK0s9iLVq8ZVt9Tk
9TW0bX2K0QL8n06Wh9SJnSeTN/cSyIRkrN5Uuz62cXuerfSs6or4qnEnbEURvMJjzsPVIMAZmkCE
r54dfQsg/R1sVW3zOsNE1/WHdUmfiaOyqvEJbp/8Hn8SnTbD3o/8esvICNU+ds14QXsPPgcW8HI1
HFUT/7BcJgOgFZit1QnxwxLbECW6ExEF8YEonOw08BKyzoooXofWmH2HDVycz7bGHJZQZL5k1hwg
sLQHZrgEJLVkc/F7mp0b23IDD9EvuTw/b+M+sCJMZUNSZxxvk3VrWc674arB8VsMHCRH0ceCsnOp
0jxZhhfVUNjDWrGEpjVMBGtVdRIbnqlzjxjLBV8q3j4MuuGZO9C7FmyV/5LeO21K3QUISi13PE61
s0/6pn0BGh/wBuptv7n0vMJyrlITufwWI5Thpp9K+j8cJ1rGsz37O7L7+2EkguOhn0Qd7vLEBz+T
kcr1s6NgBG/sxlAPZGpnVwzVefIE1j56mnQm+QbI5UNvvbjFWBRrQdf4APxBLljbylvRD8aPOgoo
vDsv/OaasluyOcP4sY3lIobrbYJvY0ABDBcevDpkocTReE3wX4KLC9Kf7TSb6SnWA/VGTqWkkJDh
5YDsdt1CV7px3Xw6hVsssYgMuQ4Lle3kmD0KWZrXrQhPXGKv1zj1tlfuAl9Wb0gmyhBOSAO+N0bR
bK2b6g32DN8gUMhe5mv1BowKW7s/ESN5VyMerTdzOFsPEAm1XmmMaIC/loJ9bFWHv1joxaRKZeM3
fHpYp9lbdW+9Vfr+W9VPACAdQNyn0w9V1JydTMAuCYGnT7DaUh4CpAGrFq2kgEq2tBOgSc4zFIZs
pVLfOxqB+MaApDtWYx3CigcJTedJrYzELxe+Aj0LXATaF2/pZPKlp0Fkz/9c+hziX9po683cz0k5
4d1hDXRES2/kLV1SRLjPpq5yQtZ1DUa5IKJrThPjJXtrssal3yJaynnxlx5MLN3YZABva1wqpjVY
Du1a5UdivnVUkz4pkVXP5IyR0FzgRzSSrKN5SKrM1EVLEEO0H4gohC3o6+qxDiqn+GlEThdvI9WF
r61EtnT1+X4VH2QZwC04FiIPFMwnLE+84251hZP0eFZ0x5ha67wyxhDzGtKbm1qmx2IJiNdenQ/r
oCuD7ViXl15WBmfRiAn7ynAGFLBtqEHTZmOJaTaKalUQrXFD11MWGxuc9JGRddWvwljqW3vA5qES
JOyFBA6gyh0vIRpe4sOL7CkfrP7MQlDXMlAYgx/wPuUOY0nn6EQ6vcZpbQTSd8gFdaxb3K+hMgZX
WNQhzg5CCBky2FlmeMselxeohM9pzJBnG7bZc+KZ5E6B13Vc2dpzDlGsFZ4bDgUqd4d56Cs3u3LI
G79CswGXr7RVeAf1rNiH2O5sCRYzwhURjAPYG55YFxwu+sqrGwxZqGTajQJbJvcJi8h+q8YsPZm1
met1Z+HoQANeFT/droG2kXodhaRqr4TfkyoZDsGmlEm/cIuyjY86FbfXzA2eIqYKTyMx21iM52W9
C9o02v8He+e1GzmWdtlX+R9gmKA3wGAuggynCEkhb24IWR4eem+efhaVWV1Z2VXdfwFz0YMZoNE3
WUpFSuQx39577ZiYfsKuazpoFrKlrnWKdrlr8cqZNFXz76sJNUyZ7N+z0KOllm6EcMtNOI+DsfGm
xeiJyXDldL23s9U6vAp7T7xmcH/wXUYxMPpcuR6ZjDApiKnzi63+LJU4I3Q11i4YLc48lRw6U+mN
B0yyyrMHC27NX9eiD7s5VFrp6sx5y+pOnULeAGKmq57OVJrIyl5s7K5jS5utfjORNHvqdS2+VeDX
31cS8yP5W1X4RV+xNI2DvJqbdumgNI2DxSrlm47TwvKH5E5xqXNyhCbvcrUhEJMID9c78VLzLDZU
M+USY4dHIlLq1gauzHvtSeNYZsWN5w3gbVIGFPbXToS5y7yylTo6H+YxzRjvqF24kkRm3VOehMAC
y0VE0r70JK0du9kPv3QmdZGcaqa6M5r2okSBPEaV8uIJarOd66/al2rloV/pX0pWg9VlgwDt3Kdf
SldOayDtwfGwIBxYvfOA1a18ipjuxTsD21J0QTBZU9fLPvZudsNYc/vWaY1oF7VNLoL2qqxH/p+b
gWGfQ62r93UK+W4YLG2Pqwq6f1+ZXK47b2bUBJsqkTvp2jS4TAwwrKCOteJgdAbnieprpjsu493E
0h4rt8Ta20a3gMIeqY3jBdElypATn1XhjIO/95xNqRXd8qnBvKCUHkaBRNQohbUrk6l5+dcLlfWr
dgkCEOK+bpoQcTGuLdrmT1YLlcl8wkjU2XsR8AjvskrqY9lffX2Tv6Vxn8dvNR2Qn+3//INi/dVz
9I8u8/91W2T879f/5A9f8Z/Rd75I1I7hcAz7a407eHmvX75Ti18imMW7l/4jjX8Vur//Ld+Fbsf4
pht4ejhZOfhPsWX+JnQ7+jdPM7HDGA4nQbYTJPDfetBpozJITJK9sjTL1vkV/0AW6+o31cCdTRUT
Vm0dP8rfEbp/8QGhpkNqdEi3qnwS9K5fDn5StjTfhmm4HpgnSzlubVNstEYH6Whuf/o5/Ylq8Ssd
mX87CdTF07O4KRcr7h8fyyijc5voQghtstiArbiesmrXJM4mx4c0e9UTdDe/HR48Y6M482WUzaov
jEcOZSs9Hg9jWm5YLHb/5lP98rJ8/1SGvrwwfLwvh8PPL0tYxoWHIz9cl2Jat0m1T+0B2JPubDSO
kjPTQkfJfLvGmgVxict/MIUmBLQIOm3rm3r5/b36y7p1xiN/fH2XT+QCPsdpzpkc3PUvp4xMOKUC
aS5cN3MnthwA9liWzGuUxfByFEyDS0tJL8u0h4k12jPRPRLR7WwBS056c7EcPCt1bl2FrZayYrnh
wTTjPXfHTQlGKzDy4dkZ31J6WXqOD3aRn9sUK1PFODJnmKhp1+mwpnhzbTSqj9lp1UDUqYo5qJjp
E4k4VyslYM6wKU2g/ynHb4afnYjPbOV60IvrOcwCnXuvWZHmciesUh0hOXh8qn4W2WyyVXFsbH3H
7XtV1Y/IknuFosC5f1XyAyIkO/RgnJXTKtXNXeLd913/0HcJ+MyJVGE5OnuzvQfdCoKLwXtP/QZg
yqxJOfpGVzPbmiMvUtfycTX7rjXBcgnPLAG70qS+OEyPk4V9t8/PKIOjetjY2dgpsFi1m0q602ap
qMcQHJC7wTKISmvW572wN7jARqazrsn3TAeKDPuNURVoIQ+2651hKvCdnLlhamGBYt4b9xtunTj5
il3dDH6UNvx4+DaeGZTVcF3UFiYMdk/F2HWtna3mocfnRxJZ1oFWQTy71PPqmDN0jWPXH1AbVdU7
K03ezN5dqxIlNr5JhmKn1BeIHBuuxS89XA7TfK3G4rlp3tD8cJhUmEW8ywYTsTed4jrfuRAPM9fZ
MPzyKRLoLmCFlzdxGz5HtDSe43gwA4dkjFLK4RrCUdH6NL+s9Db0TggrxVtkVCGl9BTC+xxWpWAm
nn40DFiu9DkqXjwjdhivWstLE9orpuhi7wzmjaN1+p2d6JTrDFH3RAcGeAHDi7aIfIxmMblE91mZ
UCyBTLvC3YByDiaPMW6I6HjjcvvdaHbjBG3N5GmVD3hn+BT2+GLRy7DLrayDq1X10bnoy/jITn1p
1Y19Vc+9c93q2Y/i1L+1//35zvaHFsX/3hb5f1HXIpskj//CMv/rTfL8JY/Lrv5lV/zxZT/sX+Y3
UBj0JrokZTmuLDnSf5D8YW9yz7Lhz2CGdVixf9sVrW8wDEgnMS/BlM4R5/dt0fgGMmXRxdk3l5DJ
36pbhMjxx0UYC67FtyH65lmWqmF+/+NmZVUNI2b0052s42w3IaX6tOidme3MMbeNyKSjZdwmaNNb
qIiWH4l5vMuaFpOGFj/UkVedK5U7X0dhNh4cfeivm94ErZbxQs6aWGmDiTFpLNQNZqeoWok6vDd1
NzsnmbZvam5jJuPXA0TMawUeJCvFKF4tJZkxtdBrpPfpSbpk3lapxCu6aiinR2rvTLbO2MNAadn9
rUcHtj+GbcjqMpXntTRHEVi0VPkk5gsipKHcxmXi7JTcM62d13jjDV4f8RiX5Qc2j9wJIgJJ2Gtj
+Rzr8hVHg7pDDbiQOUUniUiTw8AdNGgME/ScOX2qSg4kqMsrYhxcshpGDNcSpYQtwtpNHe/5kC2m
l9ga/bkecB5XMXxRET9SYURrDBacFCDdwv9rhooRnrFXoRTeS3oi4Jh10abGteU3PCLJamiz8lod
5PtgNSbTjJBAhpiW1i91aBC91OdMG7HSQAfrweRiEYDLEt30wwh1alBu+s5Jr/rUVrbpYIV5UJqh
esVU3aXqKBoEHS25BmRJY3mhqWmAC7RK6gSfSUqD1y5u2+kq1Ik9tJWZYcdhvQ0AP7KxpSUWpn09
p+mBVqNWbsJZT6BiQicLDzMU+H4jXMU79EXTPbS0nEFKruxGbL2JEE3VEl5eCY8aHUr9iF+gUah9
CMkWAROegam+2ZUx3udMy3ouco0DNt2pmKH04P6YdimTR/oBT8Iq40YDIw+jIx1Qw+zhEYSR99g2
dn0+MyhGlStktExEQ/NSgA3QgnZQsAO1dPbGJbIjnO7+0jKNRruaEowTvicbaHuq6aTOejA1EARe
rQ3DtaydELvAhOh6xhNGTxaUtGgOGqeicUUZmEKXcXZw6FyI1u1U1uWW4EXD7xzx9qxtkspbDVpt
DYsp4wrf/R5xAEokUVL8acm6Vdss6BmnrqgOiNamcYG7/TFtnNMoFzperOp+E9c70ZpiZdXqeQo4
dJlCXMOmew1L84bpzXrSzOki9oydlQH3G7rqKCPgn0nB2ASORM9AZomaU5zgt3XBr0wfiHdlU7aP
1MQ4xZOhfPA4BwWwIq9XT3qLZzwf3StVxbtRDOOKM6y68TK9DPinfhrzFd1UQePyNZA0HjNFl1eN
qu4xlsXBUNcJxQyO6euNtIMiUd7NOE2gaSnhylaak2tPQUOmbFUNzOt6y412KcMP9k1xm9F3idzt
0GSVGkh8eBFWto2I6024X7SsaPwJfxf+nkJ5MU2sH5WzRZsTuFKoFmKIs8xDKJADIRE4qM+Vz9C2
wEuUF+dqLO1nb4puoCbGQYzJZjuEwMD7Tm4SM3UDzXBaWghD520252Zda9Nac8fmSHcVumLo7gXg
431vOTcsfefAg6OVUU06mhxAB8aOk0zTjYldY1t59TYr3W7Lufg9RVzhTDt9REl4aYgBe9BMms1s
3Ftl7rWPoXWT126OPn/anf7kaqJ/YfJ+N1S5JoXqS3COJm+DaKbj/HLmzssR8xhs3J0SwWwQGRkU
b04Rd6OxtC5FYfOWKHOHWGEhSJyrxRg/EorBNDX2Pcdn1DHBOkn41eZEzVFJ6mW3zMISWqcajnDg
gbUE8uoyvL0v6lx7w4/J+6zVA8Ebam8dGlCzubaDifSDDu247s8STXADEBFDl32tWSwWiD2HfqL/
DsD0spooXytL9bXKNMuCwwRYKFhKJ0ff8V6iVNegcVedijEDr528bqUyObguVWdfVxXL1GBHb3pY
QoFso03JCPWYIoUNWIA2HYWzqMT9Eb/lcLDU/KDLRByMUMo17pDRxwsjApQdz9dzdHnMNNdzhjcR
FkFztPPQ2lYU9AVe30KPLmI0yTHcImzrZ0zx2w/NLXIU26hYVwYBiHXSVAS+m4Q0BSpEQe+VPcc0
k4Qzb4utypqnm4t04YPRkMlNPDXacJiYh/mpHKyVALpNlAtjPzeULGCql9+LyptPHESh6KnZRVzU
8jBFmnnCFYDs6IZR/sSigCJeOfPGAkVO3pGwO7/QSl7iM3HfI4bzhNvlVZ0W+pmtxnixo0xq54Tl
k4vMix2sCHWrSj+FWBofM1e3D2JUnEusJ8rW6YX55oa9siUV0p5wJYWrwomit7CKeVvR9rvnyWL1
6t1ev+Ssq17FpDrwe2uvZhpqO3VssjXYrQoeVlaf0sXZEOMOTTPYFFoFcXhoqDtE5j64ETwSe6zJ
1aMy+1zj41pzV1U7HcvWehTRPK75yT1gXYOYk8QMVPEKrbFe9Su91G5pAS5gGo47jLIguFJYPKPx
HqnasLEr5Q34ZS5WualtS9GeGcS7GSseU107NFn4EEa0rFViz7DtNdawTBbehdr3eMS6ztqMc/ee
iVG7INHzUZiRB9q1NAP6lOqNO9LqBf7nBSdQcyaWG0pDgds7DXnDWW+7zVVW6NMed/WMs4Fha5Yl
hDz65o3DIldSy3jvzaV8Iqttn4SlG2RaHB9MnDwzRo1tNqnaRV5557KeJ99AaVjnuTKBP9GKDVSz
0K86+icB1c6+XXYIDn1KmIfVClbsunXLgFPCpiib9nwutZqI4zRtHbNs/GzUb+Dyj+eppsXEVCij
xDhBv0GjwbkdHe2KKoaG7FG0Ztod79EVUz8aKAkAt8p8kDJcfVjpSmp+ANZn/Nlp5SfsTeBFcOE3
ZjcX3GwxtBiZzp/GVhRII5HbahgXxbXTJwbfDllZe5z0B2fq2pIaxEx9jK24vQelrQK4iqX8RAbF
FpKFINZkF7VLMGZsyq1SdyJaF1WdHcJlj66X3Tr52rjLr00cbCcbuoHnNt65Xxt9/7Xpz18HgMX4
R6z562Bgfh0S7OW8IJaTw9cK/f9vW7f/uknt+21rCR7/9W0r+EeRGq6Qf75zLV/8YxK5zBvBLy6p
VK5KX8Cq73cuR/0G4+KnISXXnd/uXOo3/gQsBKMx4Ajwe3+/czGkxPVGUIfJHh5abMh/p+J+GUv/
vgfzmVzXMHX2YLZiqqVUvtHPkzgwzsB5cs0ERBd/do594dTWtrS9WxmWCQ5ikhcTnJNeCW8xEdFb
Yz85dbTtvGcxMDTSlOgQivk+6ewtdKqlbXotj6D3zlr61EYnXUdhfw7F9r7SsRssm91sbeVc79SS
WnRGJ2l50Grf7twNDmJ6PYEQy3qHR2Cf2MaVXVsXlm1sh8q8MkMNtslqQVWOkdhMpQffqLpxlfJm
HoGj2jjvBEsptum0fZ3TmykiApBhFh3tjWMO507p4rLIjlppXuTmeF8a8C/a/ETGaV2yuqQZJ2PG
WpMe3s4AhwMq228bO9rVg7zMQhNhSngZ06d6N4cIbVyyrtrI2Rllg63F6p9besRxGj5Kkx9ZpJp0
GNh7JLE197U3xMKgKrOjSVvAT0/en5ykfpVIv/8SF5kUEwHX51/vzRPZ9Eaoigk6tQqw7X3xaaKh
urSm6dKpAfAIkfjJ7KwVMNA9v5l//QF+Tax/TbRVwEQ2EI8lE/1LzpSiIRdfGGVyrEyIQvHR7erN
qOKQ6icLvVvol2aY2NsunE+ymu/7PDaOzOCVfWbDcnRWHxPmsc3MxBd6vxFvHC3M1mExH8e03mFl
TXzb5XqnthiC4AkiR6ZZsMXIgbZWA34D1LkewOUB6196bkNrF3rGoRoJ/2CnR6Nq9LcJd9OK6NFV
p8bbuSEyyrv3YFT6IXTGc1d2hxzj41lBr+fh7y+k/72Z1F/+V/+Zyg3TpYVt+tfLpC8ol4zRbMSf
rJF85Y810v5GU5dOuBDxBWvOAsD5sUZSFonmT/ACqQA+9O9jKYMlktof1kFUhAWdzOr5Q63hj5hg
acBDoXFotgp55W8skdpyDfl5iVywiMuZxuNTUIz3K6y1E7aTqZmctvZQV3cZNJfHyiGb5+ohCUTp
1eMT+ZPXMNHqD7c28udhSX7ZvRDd2myGYu30Rb12LMV7rLW+OOuzMgo0N07frTTqHv7+o/b/4oR0
YT7wkDAmXQKu6HfLr+mvn8s/VxT/i4LU//rLnf1Pv8XvciNVeqhB+Ll4XhZkx0+bPMQha1Enfzza
P23yJiFYpEiVj41K+Y8neNEbSVHy9/HPWf5K9289wb9yAH7s8nCT6HaEs+39ctOuQtKLkU1NUjjc
kfA+9261DTgIOHZca0LCoGxfG7W5Nu5yZkvkLOVdU8XIFQ/h2AZxSIoAFJSaZM9e2OOkhnlJo5Oy
cVxydaVLA0O2F+7rNJqBKCNJ9c9DNzzrMc0ZmNvArtyQP8SJODFfqEGWnJXuZz366S60b3v9Inpn
crHKrSNJQESG86Lu/ND+zHLqALiWC3qrNHtvyTYjJKNdACgLpkHxUzFtM5tBLGZTf4RFgZFUtWW9
kVob+UWXXoziOcf+aufDK6V0d02rXmXVLCDoUNZgGVO5bhyyHPlbm17a2GRWHR1l+G1Ac0TDYlhG
/loNjn7SpLyJ0nlvGPVmSe4qZnbGqCz14fiCYAdaUZaXTUdJTxXVTCQB+mPVSbWUmYKUK8UoPixu
v35emU+qVFB8IRIX3AI8fOOg0swm2Uzm5NctHTbEbRlBnxPuO+F3uyBm95Y49mks+KzQjiywnvr9
GE93hQIrM2PiYcIjlS6mkWWtwjnC3wrA7BRRDreqvIYuMje+qJDE5PhvGChUmP2yPC7vHR4tiPEc
cZ1/0nKTXm3GuFC89Thnd3VLHYtpNqexJyA42GtMeVWQOvZZm+TbtLy0snFraeahzdwu4LbDFKfp
81UIcMCO012iqJu4GzZ4+umjDY2T0RebcbRuDNOi00Y2QWXEhyo/qJ25rcv8oE2cOd11TtEfGbgr
KxU7l36cWvMuWn6F5Mk/TYyCVvKk8GMOOf7EdbaJJElSTeCmaYNqwGsqG3DM6I9jEUS1soPTdaqt
etMb5mkCWmmb0fk4gQkas20m2lvJ9ZVHcjsjTmjPNpNeHN5nlT1fqMVAL0qBuOCQTGJywuxuQgSm
w9zNz50q3VKtQCLUfc3aaZemFCANONM7hUNN0s3HGco+1qqXqbQ2BY1AGX8hg6SYPLk2nbFcPOh6
hBRwq9f1OSHtHdOY23x8nqU1Hkoc8iCPNOepCo0OYnj6qICREKW2tSWPyGATW7e9XWXU7yqQ91VP
3jmaMBS5YWEFHga+Q4UEUNrz80+r658cUX8lRH+tzjQPGyqWC0TTrxPkT/aYuVDdpB7ycG0XyQdd
9g/U3GzDWnuuaoEKXZ9pTn1dhcnF3PWXUVPvJRW4ccysjvkU037nmFhg/JjHM+P3LmnUYO1qrxvX
ywPRJicpejBZ+b95us2v3omfN3+ubA7PNws4/4SF3vLH+1GDNlL29MyvK6fGSqkbZyG1MzMJKqxW
6apGeg5T4VLx2jPBtndKxiJVaR3Rss0IXLESKXR2ZbYIhQ/zggPhmY30daHHOwLyuCzslAqU/oaF
dWuk4ymW3Q0x8LvZWKz5+ntkjTeZCeTTcNugEFzyw5gBdm23xXp0XZbGXv9UO4LXUdsqRwOILg9j
2a7ScrgWfX8aULRKO4zAZeXItOA6bNt7ZvKmrYykv4XHconfbCYZXdKCI8XaMsrboVU+McSmvhvb
n7aS3jS2fGTQtq0JgOOm+izTeCtGINE5nyCq9nVjrugm9lth3SM3bcEV0RZcvw4MRiemR0U2rGne
jtTBV3swxQkhTMz4A3FHEhFreDTndJ2eMNRJGgl0yJKMhUmdrETXPXApu6tUSitz85HA2F0Uj5c4
V+eg71oCBu3OkJVf0ZxK+cyNJYadGs0gTuRbqJY3KWOzTjcCW+d9lxZZZfdEv92+KIfTYIJXTt2b
TNNJexDn7VRv7WkkySNrEwl1w6/+SBB8PZB6tcf4gYqCXe90a/JavjUxkj62JKubydq0XkrCJ15p
NAbON8tllLE7PWcHr0z2Mg8f0MUxqOFi9GUI9TnPtm5CKHugEKc22s9EiGWUfWJoHFS1fKoybAhe
I0Eu6ilZF8OsVtJ22geZOVdFZNAhxWUvZ5K9wsN3ii35VqUmsAL9M3azfah4D2bDxEsp3rk5bcpu
zpeL0RH0Ol/RF6e2SnY6GF5ZlDfZYF8nkTyY+jQEMw6CarYmX+H+Fipt4BUdhKchCKMmZ2d6lPqw
M8Zxly1lr9SMYcxpsztD5I9RYx3H2rhPUa2A/D5ac3U7Zh2VcbLbV6HzOevGIeREvR6azl6lWkSQ
zXZWjM6noI7clNq1+ZhgloUwc0ntWb11avXFZMq+Jpd+XRjTC0VPcIW79pEMDZIuoiiA6OlUm+1d
P7tnvVMKIpDxWkn2iW7d4+QnAEphjS7krdbY8Pe7gzqO1F3MHrJnGtA9tFOGMRhV9ZTZUZBY4X3W
knKuEU1N79ruiD0lTzM1h4Xb+V4oLpo+vjKyeT3xtJuy/JxjUpz8xMbRuxkn40GvQJO3M/pBdR0S
c03cT29Wn8eIsYA+brTOe5O4SuIMD3dkWdeh9wEvGuFvbSoXtXtRaheWcZl317KPTzVjdaIIK9sg
A6CvWune0Xu5tK36BW2zOZb4vhwDXX4k8cSd2GWk/+h4t4MlVvFokrr79GIRaPpTF904Uba13ZoE
3xWTW+KY2GI6ncdFOZfq9ajHMBLnoxqmK2citc0eFdvmHoglfXjrJMbdi2Rc2pfa8IaFBUyG8dh2
1IJOvNeJ/uh6p2wcaLS4UqMOF0kiHir62/wutoIofh1o3Mu6TwI5PrXfr6NhpBt8xq9Kae/iOtol
sfbe4xzGsiOyVVJ4wcRoeWV5Q6BPGEu9wt1LAQ9JIUsZuFF2D7Y5Wo/6ZL4rta6tXAX8NWrTZijm
g1XntyKqnGCW2q2XKE/FND0QoL+lR+00h0S74EIs/coGbq82IVaUuvkaT3UX9EP+RnPl1p2dHfHB
lZ3FCBwux6lIjDeKiS5Qq/h8VXOVyeGlxVmLlXpvD6Hmd0BSZtt5zfr+zBvEhzt1twSGSr+S+k7K
KQqKhqMJhBZQMQsNY8Fiyb69TQ2SWlq25qB+LErjkzCvL7Utk+MzEyKZVtTnCe5gjk/norIupqnd
uowviJTBdoObIvBwWUowVF4ctFYNbNf02nWakG/7H2IO9RS9wluXlndKdElzsNvdxmr2WC+YzKwQ
CU9DeG0I7YyfDV5rov4IFMxMCnzNGK1I1KqoFqjh9s3/qUvrf+LYg0kptHX1X5pxSF68tG3c/NPk
4/cv/n5zdM1v5mIrXeawzBnwDv92c3TVb3AFF1cOmhZumOVPfrs5mt80lZny4iDlfGIvrs8fsw/N
weLDvMK14Yxg+sRY+zdmH0xUfjnd20TeGHl4Ou3mDJ1/9UXiVqFNU/Z0H5uF0DejhsQ1NJyD/MmD
9kPqkWTcGo5kjo8+Cmn7dRz2msAccWks+QUIwp6tH/NBS1ZFB8iDYz1IGctx0pskHpRbazGrRWOx
dJzl4lBnjsrTbDnZltSut3YM5tBN3oj33nBngaMudQX0V1oPwhE6Ag8vtvgQVvQh0nIT7RUh2odL
NF3ZY5EB45lvos6YOCfs4O6xVuk9WngX1/VBcHr0R6bi+gYBuEv8cOQQxeo1EfDNYbGhXU6IVF06
qzehFaePbHvRTaGTHLFVvDmVO0XnQACIRE9KP78iv1nPI92FrJxd/TKwZ1GjkXB11cmJ1lSX+IXU
AAYBYspPY9NgKZ0Tuc4Vfjq5Ph4itcUfkgnKUoxaJy6SRniSYMvBqtJeFxgAXJGigzHUunFyrISd
vA42MAYch6n3HhVKdEdDsoHi5JA2IGiv6Ojpep+zIqiESY3EXKkGCjMtLfqZ5Bfgdwn4gZaUzQE2
1f0U5wB4HX2EYzI3OZd0mauFP49VTuJsToylMtQ57+xBvsS5mX2oeqh6nAsnbvhV3oPPU72pOZLT
bDDNNtgGs2yGnYoeHY2+nWP3j7gPp5x8h+iciiXvbGR5fBJN2NCdDl5VXY5aRYXphD5AMCHiMUsz
EzODqoud0fB9tMnImUPUAyfOJGormBMs9lhPqBED6wdBdodfqHsv63wQG0Mvxl0XK97W6ZzJ8vXI
ntZYBeCPOIYLmYaITnPXmoZ+Ih9iHkO7a25FLoqXCJY54wUwVN6BSb+BL5nqprcqs6anxhOFFliU
BCybYl0+ayz85WrWlhY7KfP6hoo172RCPQ2DuRy8o0yK5pSJihyamwtN9z1KQ69cOx/vG3PZjcNM
VT66klB54Gpa/Wg6SfZqcxTaAi3jzwvdG26bPDcyDvsZPct1K8W0wzfNiKRXRH5oyWHatOgMW6Ud
SWCLYbj37KG8ttqC6YWWL+9tUu1IdSuEekq7w+GleWpQcc+o/FDVk9eIl2v50pDjn1mnabXj+inr
tYkqjLsktk8pgGAMu2Y6qg8RxqNHgknGtFbxKy/gMX6BLqEePMKTa63YomiValScZyunwk0zNwLa
Smh/hKk+Pw3RuNbCwufiYrwVvYftWU1k/Wo5IzAjpmPj04j5Lqg6gXdWaYZbEiXlUbhGuEswM57l
9IXmdLi3/LETp+sKHMrD3DimIN9LLlenugUjX1ucOepstysDTofPvCDnYm6wb49uuINRueVzz6iy
VGL0pCpX5LdqXNPQfWfdCe89HcND3nLFhY/p2b6iISlArqrLyh+irAro7+WGbc6xqvnZMGbFWg8T
M+PYWcUfsivF3ewIcVATLYnWVWvoeO5wOj0qvChcB3QDpG5SVd1TZkjBwUxp8YQl8cyrPWdWdWKS
kU2bvJOYBLKZ856mcMlrGVvHq66zu4uqSiZyM3lR7NusaR4blXQudu/3hM5Q5PWadbpPU2wSXiJg
HXQKEjcJgDu11SW0V1pnVh7N9A9mGNVHIxTiSesduczlOOl2ugLCwBtDV+HQl6mY06vZeYP0ke4i
1C21ik2oZDnzbbYSC+MmifJ3U4mcYYXgDbQnb4fhPO4Qwil/jyYraBiqNb7SdK7w0fzhA/HvtJ0d
jkVBJ62MNCNIVK/5mMwGQ/QwOisC3OwyJhWAdVZXZ6Ed56Tkmb5jnAM4Cms4TdotpLdG7ApqeTZm
bLfqLptzryEdaUTcz1Lbwg7aGRjGMefhoeTRrD5HypXO1LbQA60hFb4icsni5KX5Ta7wukEYjccg
HarqKXYgAK1Kz3Wv2rLW7yenIJ9vV4l+VEWh33kwfh/hd7tnrkwjA/2pBb3klpFxWYLSvbQZCN9V
k7MEG6TN4+M0fWogZ2pJFjRxfz45rQ2SdzSje5CBahYw+NM+1YoCrgOfUHCV7S2gTMKd3KcWahKe
7lRvznlvrWwXMgBe6uEs+5a1qT72mScvhrDQN6Qf6I8IdQIFo1LPsAKUWBF+OqfaRqmK+Cin0HmY
pMrksxizy0R6qp/qFV3PQxGfkB1zX8yahoLHnUuDJXTf4dC7Kz2jDLSpeyoJ+ty2xJdPCQ0cQZdI
Y1dZmXoLmEH50CVo95Ue6fQVG4Wxl6p0lAWEEd5mauScnCK+LQpVOYXFRA3jlHMh6oVMTorUAcia
AGqZfuYW6QkP5vk6VnO6dlp+bNQAO3KJh6TuuDwJqVG+AIYMNyOFt8TjnaTzm7kYIJZ5zp7In9j1
6TC/pdSAB8pc0eyZd4W4LOy0OWZl76zLwY6f4xYsCK7E7dh54zaMu5xceBa/hN1kYkYckmsmjYD3
KlheVi/yTaUMLjYUV1e+lxRNnTBwDQOuqs8dK8ueU9EzM0LEGEkTpImWbggUL1CrksWlwbW9J9HR
3lYzEYNcqQUOXrVet83k8M5FMuZGRIWG2pgG5Zxa51PB0d9abC1XpoIfEU7+wNhUJK69LjAovcwg
Ss7dBuvYmhVB7PuCu2uk9vqNanbliWuoJGMaWc5RjXpwS5agbyw1E21L3FXfSnd0L8hxRy1dsKEK
6EIV6bktwfFCJwqfOvgM1y1C3GddpYbDrsxRAlW/tIy1ViVcobWpVhiURF2enriKMs6xCHizf2eU
ldRNy3yvhTDxwBzCWxHKK09JSaqWWhWngm/ZaMYLw2wVzJqMxL1tNqgHA1qzgtW5Fgczkphdcavi
bxMOUVToNdOw92jHKXbtJO2HXuGNzLO4v6YHr9q2SaZdDrrQAX9ZDR7tTmF5AGgdbe0sbZ8gThRX
NfRqjzBNR1dIpVYHWyS8qzP2s6MzGdOxtqsB0KOhdFccYBmXVl4vHgXti9EqHfqWRpNEGLeqHKsH
Q5fliSlOsh7ter5wOxueJNuWOeIJhwIIETyeMyKxznthmmW2ondjulD6MD/zylzdMusc/zd3Z9Yc
N3Zt6b/i8EM/NRQHw8EBosP9kHMmmWSSIilSL4jkIMzzjF/fHyjJVapbrrate29XNCPsKE3ITCSA
s8/ea32rW1a049aqVvbLNDmNvnLY7J2boCmQOaaZtrbGonuODJywG9cEadHjN91F7dTfMM7Q26+f
srQUUcL4g0A8qDsTE9qih678iZsTS38ZZsXJ6UmtD8r0XsbJbRKgQh0Sv7500wADjUlmJoxwNHVZ
CtBoiY28WWVkYCi697b7CZEWKwj5JD7Degt68GKOPXmIbK+8dEGS37p5bt92eI2PbF6Sy9ofaU87
HokxNmTVl3icgu0UawC4aQnJq8Gxuw4IVzN8dsJRjId8MLtxF7t6Fx+CzGC2Yvv+uAM7IV+8xAeJ
mDGRWWQgbYgoKKCmLYzKcRGh+dNOZ+V6I2zdfvN9r2rXXRRPzKkm5Borm0xMMqk6MzS2Ru6G9zQX
jA2I0ehx0rTpFtwGhEL4Cy5rW9A96DiLb9VoJFegT6bTFJrNm/m++FYeoyNOPBLa3vdux2Csn4fc
qY8KeM5dBX1LL33fRutK7GgA6Qi2l+UE5lp44OXhHTBj6OiRXUNd61ei9/1gEYQjMvM6kS7778yK
413bRrPBtax5aJQ5Yns0afJR+HoJVq5sECaKkCZfKUTxYmlls4O7EB5RuOY3YdqXnyp3Cl7rUrq7
BJfDQ6eLcVoO4+DvSaqvm43eY55fpqAx9pprTdqedDCxMxR+wBjMl76QY9B8DtgkM96qmvYyDMy0
2Ma206Ch0+voki0BBJCqN3bFIMqYXD486roMqEPHruMztfRDVmaRTgigPTlBy1caXx3Q90OaRjQg
O5y8ycrw9PwEh23atYk5VzdmG22lqKOdI+lVL9DNG7c+V+au1+3s2cmn9PO8y254Bfiyq9YytY+i
rdpTmujVJxKTxn2smymlKgv+UpoeLXm9lvxJJygxNCO/qMVYXDKXS+iemUHuLfMkj85pnlTBDum5
f23kKR8hjguwhjFEm5vWTb9UOJxNbpd0S0pxBGQIgjGh5W2+rCYpL+ga6RCQRk3cwZl3abRFBJs7
k2FhvWrt+CIqOwqSvDPrQx1iVVzRBLJGOjJ2sasb+AWdzEKNrWkQzYtymMpd1dR8NZTxInXHi072
iK5Ykc5hbA/2Mgu92lsMKDjqBROhhMlsw5ACcT8M9alvIpqotY0GtYqAsS1EbK8HzQouaoOgiSru
ptfU0e3NNAxpM5eRabFWbVA5y8SOw70bU5cNfpwf/Qqe1UIjtOimRFh6n8p5T9E4MqGHzypO10yv
ri2SxS9TSKM7Q3TZroNmts/aMSgBuqYDJhzbEFuwFvleg4CMkMoJMSfaU3LEJVMae7OiS/VJtcOs
tVQ9BvH/rA7U/+fGMlvHzyznsdc/FkvcvSXnzD9n5x80PL/8y2+dLP2DaRj2bDLmeO8e6e8aCIUZ
mzYSLaT3RtZsrP7WydJd1JH4zlDxSAMNkINy7HsnS2Iuo/81i8uxmEj7X1LxcMTfdrKkRP5gIAyy
4JXjcvtxkhfGDviliJTTWjS3NnLHXdqQg51jtNy4Wtq/YURldItte0dnAAbQkNQbTKh4VafU3Lg5
fZB1R34Vz1u9lzc1luWNPnnZHtdKusCXNVwpz7ePpuMrqC9uvmlY3V4rw8s3UzJEgCaHonmuQw+4
cjQ3/RbVENqPttSDh6bI6mMJHwf1AE8ZD5SqcC4UUXt7agxqisGXbkL7WMzmUtpKbWsBGpNZ/0Jc
TrUe6X85cd892tSES5mT8QOd2w5J1xiVtatsJ6Q+nYqYIBsiwHtCAaiL0FMjSbBh4BnJ4DJSshwN
kYLrU/0P9JyXkaUXDFg1Vx5bzwmz7YBQ6p6qlSpCOBN6OxU25EhF3p1owoGmjoAGuQhLG9AM/Rm2
JtoAxpWWQnjdJEn3gEk6jNdxFYoLqFoIwPvxSh/1bhfqdf+SC8pkzUxqCFhJXV838aAFqz5LuuWY
6PLBE7152cAFvWMKIOb4oThgMKI6MOEd5Q7WgnVl+v6rM4L/XPr2ML9xtleYXKnjmRzJ3Kl2jDzy
S5GETbDga86e7baQeySUVrXoMDXxJlED0CcjKzJGA3uNyMLLlrFiSuVh3qKG1yDr+tIOt3Qbc9pP
NP+tgNy5ru4POTvEtcGOGUZZH9y2Q4j2JfI7HavslF2mQHHZmVOenf2gjA79qECiy5s2woDkFIhD
UgAvfqIUPhJ31Q11zj5Y71YuTpUdxvjwoWBDvJoGrbyASZbcaprCF+wM5TXSH3+bY1JYak1vXrPV
F+vEifwdD2VxwTfq7Q2NgXo6xeJzOU3TIbB875SbWXQcIy7UKu/VM1oNMqxMQiXinJZbmsFMLXsa
ueCbvKgNTnHMkMdwq+KerZy38VvHOod6O16EogKdY1Y5Q2ZIpKqqP1GFPKUUMQtdDVjdy+6hpszw
FxntMmuNJTX8yMhoVzGTKdjotYE82MXGV1PPbJE8zpYI+0XZFu1OZg1TFLRUDICK2g/vuA/UsdZT
+xaro53tRDNAsg4077FWwrmzmignVh5ah7PlL4UYqAcTIlpYJeNHg9J+F3NNXQlOH20gVkcyjt1w
n7Kf1RiI2KSmIqq5Qqxh7nS2OIo6HRKvp3rCqTvICFVPkbQYB69+FkmK669tHfdOZXqxjADE8/UD
sSFRVNrjCQdJcGOVsb1SpEvpC2Ny/FMxlL6xAn4Z3jLLHws2uEGKa8HunoowKmYBRH8YRSavyO+B
rNyb3cSRMLYBItBvXaNUO2cq4Zl6hezuHHcw7ttU9Tu7H8ZnNwlT2HRGXu3oCVvPXN/hl8DuTNKF
pU5KZzYawVnHEZUsSzgEVO+BUteRRat3FKkhsSGlJnzbPCq3vV8y10qlF2yLNs6usTWZdx3Bjgev
ksbHOK3NS8TkBm8S3dYpCFsdIoFd6mBzG9/athhJr6c+0m+6yod31ofNJRlu6UvEJcy36pnGQ53X
zSXSJ3Pt6RM8ftMOSbVKnKssS6dgkVQjw3JleuLC9gp955a9fyH1LgLKFMeIgAFEjYtK0/U7Tdrg
eZWdaNj2dXWl4ia9gVMmbi1jMNAKAYYLDsXUKzD0qTCXbTFWL/2UT1RTol4qUSApqGQ5K9MPUTlK
7vmICCMkQF0FeJS8vLmWrpmJOsHBFOiOeje7wi7VsL2lP8qGiZyVwG303eDo6Y0dESIguXHXtUjR
UfB/C+Cj2ce6M2ljQFmHpeled1HoH+MhZT9kuuGRXUS80Y18OpRVQ5SwnRo7RSf/OZ7K+Nh1WHrR
FjTbIJXqAuww3yHd7UvPhdqXtBEtAlVnF9k4RtMyl22/Vmn6rNdJvk50rdqZVmZ/ggOxsR1UFjbe
I279YK9TDAalEayg5XWvVk4Ds4bnb9fauARlHi67XAMvb5aHkFHoVrbS2uPAvjY0S62kZ2s35JCq
3chsZu9r3kH4lUSWbQ9i3UDbfJwZw7CCYX3cGJ4FB973tWJdMRGfsuRuStWwSWXnbGglPCbI7fZJ
wa7XrsLnSOv65GBYBv7bwm1Brfsz5FO007BpPKu7hY0VHfEVFpBDiuaqMowL5cjP7VDsSC3AalpP
jJOGul2mxEhcOblxCa9yQqASOAKlYOUyB+3dnA4P8pwLAhQcepHFxHB1kF5CcI3gP1sQzFucWYcK
BFO09EDPj6spYNCHsLeBPRrmfbHrquScjkl6sBO7fTKTonaXXjCGx2hsui0TAMr6zIQKXTZJtZ3K
3kHXYznUCd3QXqSBH6fI+zCh1iMG+KnVzDeg0l24ZonHnWuRd0gxo/kJOV9tOGdP1KwDoVHnQLYM
ZmbLKYnslwzH87Wym/46jOm8F0y5V6pnEXPddlwmpnHMc+eaj0WIKKC66A4ESWkuiQ7CCqp7/fDg
ecGry+X+NEkb0HtzlIHTbhBmzfsir7wNbehWkNhTBKVDPfChmN4IBkw36BemJ80vxdpXyXCIzOo9
6pltn+gbbGFuhS3DieVzbcTAMHjhha83w5qURVwMqaY2lVlU97li0+DbyRrvMUyPKm1PReT5D7Fk
35nSxfhiCpU89p1VbAw1yWzhJHR9dknjV7s+Q6mARKJCqFpknVjQfslOrAH9tk3i7sqRznRgIG49
hJOKD0OtDYfScPyVWZaYhpEmsSApCcIwI5PaMUKMthXnSrrN9GKUUuwckgpWppy8TZ0Cw8AJBxQ7
kFvCEu5HG3xAI8GaS7KdCrNaGaRXKoEB1QEtSKc5bddtX72ZZPNSnXApxoO9NgRmfx7EK5QouPtt
Df3SeKOZpXnIwcnv42Ik8zf18jP+y4JJPyWFrNMqXDuZ2BSg31lhDKRgFX1qMLUzg67syX6svSOz
2GgRjp6xKYjSWXVzWldoIsPt2gsgu190vQ5CuPmeGJaSav+1Teq1hSIoXtDt6a5cBoabDH/JRTP5
wZZIs4Woe1YVXOndXeNVzf1otQkEg6Hb9PpwJXwmGgod6koENjG/3ZAt6n4O5PJojcOadzcmj7Jg
aZrDE/+ItEe4Zc8VTfi1R594Y+GTvxRFPCtr5IwKsNssJpc+VJhnY2stfQFgP7SCg/KUuik61nKv
LQSwczi6KKLR2HmTdwMvyrlMRRZfdgEUyQVAMHniDiXUuiiC6pJ9SHpDxox8m9BHLq3Gy65hmqHG
aQ370KL2e3OhYh7t1nUWYR+EH038vJh0bavHf5uFT5qeNkcem8m+nOJ+VZfqxW87d6eyKFn5VtRe
NfiwniyradZZlGUZ1JoI+uBoRsWxGMuUyj80w32e+sh2A1mMPD0agmKmIdskbJ12bqXsvSbVeIsj
uJ6YgraHPFSEpoLkPZgDVuferLPrAaZEbivvRHp3/NQLp9yZqghXEOSB91CDEzBYAh60dViwA8Ed
gU5Qi4pY6chBhrVj6mvih8xV69ohMycUe4x6aUwjL7suWx541I/5YwDbeqbsxQfdB40gEQJeOnpT
KDqmbVssCJEObnwjYWzU2i1j12l48caEHmHIuuc5Bq881t2mVqzjA5iBC9Jy7+2m8z85SHbBxtti
1VIQVZW/n/x4i1+WOPY0OQ8dmgFWVHr+JiXvSsi2XsRCAw4N25dtVsPUpX8J4c5BiSvSQ1SBW+7w
ce/xD+gHNbSoyupYrIY09nY9sGJXFDwgyyTaq+S17wQTdRig+yjnUJSwYiH6pHoZtWC8SDob2/yM
DiAxJdcYH/awQYms22RTz+mzeutak864nYK4OvUtkNXAzotnhk3lVRvr3T4y6JBD+FCo22vKidLV
do0am2NKn50UuHD86HmEr9QiSs6x7k58lAJ0YDYFL2zGDGaxlU7qpGYt4BuW97Qq+1saN6pgDm/q
T5nKtc8pgXAbeB/FTg5MfsnVSQhqhyfKpqdx9FOFNW3pdUzBnDhPl53rxhsHMxxhMD1pk+zkunBZ
1Hxf2ArixzEbSCJBLrjNtayHpd8eTWZINhZoBT52YbeMhroQuRsFf9e4l0MGetErmuXQodd0Q4NJ
Ri8OsQ1JlTniW9kPu95375x5CmjryN1ClkRs0Nm4qx3lo4qvyn1n5s0+5lMCLs27M1SCau0qz35g
hule5mPuvWjUTLPtmWyrrpLulq/HIvqvU0dzSopLhCjpE5DGltpIyn0uKGlbU6Pp6I6DttZpqYmd
O8mholumDZdllvGIxy3ubg2QuguwCEwkRpq5G4/wzRc0DtjbvVrSlEw89Rl0l40sDZXzQ0GJtC7c
EQV6PyWPMDPD7fiORCbt/GxnQcraEWf6KWlHwbMsm258TQM8IKfhRqvrnhjFPu6WJI0Za48Q5P1E
p+LWTd3q7I9euKWxWjwWrG884iFKI9RDMxb31dFpDIF0sinsddvogvZpmd80srE1KpauehOT391p
mU2aE2Cc+mjLHCVmS/7EIh4N5ympzXKrahSkcYayPSCOeDGOoXlyfF0sQV6EDzw4miW5xG2wKjTZ
HgdFSkXlGfTLxzF9bGVM5TrBKs243RdBk+RXXkV2CNk1jL6mehoRMWfgvqzUqE+xaoprimtUC6af
j7sqMnjUlCyitz4GaXcRBjKB25E6W5Jqq49RQQ3LMDZOd2QLWCuXXcyl4ev+skyy+t4WZCgh/1PL
sY59lJlOiMYc5TRciS7a95ltLGTdT4eU8uzAALt/BNEOs4cq9KYFfYk7NTIfUsQvBxfp77OvWtYi
r5+u5CQLKDSF8MnfgkOQ1R38INSnCxklci+KDrkFElGDAVhky3NnkXq4cGNTnOF8xyXNg2n4ZMWd
otcSuTWNB4ziRK0irgUoQcKZmTvsdksPTwfDYYYkGRvnYPCKh04R0DEVeBBip6kXo2Pk1wwLnXtb
xergVMx79baTxNkb6ZUsR0qsaIa7LFQUdo864+SVFFFw7SHK2la1PhHm1cf206Rj7JGQUZiiOsmF
FkuqzjBScHNbq1wrbEOnCP8rX61zLno6IAHWlYmmFR4Y9uB8Dn1pEDHfIQezPYena9xrcT2P+s1r
PeVb0htXX0FGRx6cCLyVcd12awBr9jPih2A1TBHlkhvbxP8orYToY+oF2LTQz5Z8aspbzR4+hl6U
HENL8maNIVvKwcIz+t/b//0T6hSVpSOIwlVmMHmgKWKaf6hYvDy/nuMfXJq/e4BvvV5M6JjTYSXa
Lvsz6f4dJAZekzarwAYEvQpz2y+tXlN9EIq9ljAtXX1DjH1r9ZoG4E2FP4lywmVchzvkXxAtUp//
0OpF0WbhRBL878cWr5U0OfKaJtglvUo3LW8eQzcDSXfpFDxTFiaSxQulZQ6P/qo+iEaqQ85Ij6Gb
3aCSKPASLDKHBKoVbcHqQWoeSUmuMz4woHctZipORtcnTjFghMhsb9Miqm9ULKyBjPLUmTlJE1O9
RcGGtlpiHPHWNRHQEAsjcnifoY1oBVP43DrWNOUP6M76c+eN2TNVrITog5ac7l1WgSaU4cxH7mpb
7PrRtj9XY+znFDruMG5H0XDTGrRTy32da9zF5RhY0aqFM1IeAOiGNwM7Fn+J0b68kwqUX+sQsWHH
LUwrGH72kzHG6WkY9FFjZTZYbaoIks0GlXUwgwQD8VRGVIqA+hllLd24UbdDFnao+iOze4kkeyQ3
Ssk0AC11KzWZrUsnND4aMmo/Ae2Sp1QL0luVYvrWGsvd4fOftp0YMnonFKWXHXpXqDtkHps0aWkU
9ZqzAa5JFjsKkeDFJTU82GlJHbjrxLA7nFBxP10Umm1+6dlAfBRMdd+AE6fdjAUtn2DyWNdsaCEW
BHXEliYlz+ReWXPmStumzSkoXHE1gltFej1AIVi0xPxt4yRElE9ztr9Xuq09oJ0OGCz3TLIIxApg
39jlGK9D4hUhQwXGMwT2krG8Uy51g9zCxSB8RH2ZPa88rMlqnRaeewEwpLkE3FKhDjABQKqoDIny
TQEvMSHNms+pFWvVSlpt/ean3nAnuxwnR82OAxF7ozlL5bXOMS8qu176eZYkq8a1jG1cRrV7zSiY
IBwEDsgzpdsB3xq1JKdbNBE/sUjHMrfWEYkl5oZQLvVGGLHH+C8pyWAuoqyY1jZp2vpSc1Mip1CK
F5+JhwoeyRDLZ6X7gKiKdEo4ZwXRarOeMO1pvirMNpxYvJahlRJm2XbkqS0hFWXDKmQkfCv1oCQI
gBXjkW6g94WNDbltVWJ4b7FnNzsnKlv9BYaqYFxSUewRouOxeeS1mnyjKtrtpw6yzWXrBhkbuCRh
p9339UtrB8Naq0i3WIkw5de1UWuXuhbm8bprYVFY+TRFpybo7HZhDaSnRf2Y3hN6Yr3CVA+fmFR6
zqJCGFKs8KskS12Av42EFltIDLN+XwQqyBcBBhsERJptEyCSlYmzFDkCCqpiv92MLtsKzBGj8+Z2
lQ0TtHaR0alEkjE3NOoGMHe9h0tVM+hNW1wCiVs/u5WsP0XEBl5ZwwTsiPk6dJlgsOlFVG53o2lW
/amvJP4w2ecX06SX4L+xpGHuigpQnp3Xral12AIihEXNSPuGc5HmSNlYPItPY1rHF5keywDLqV2b
2EmtfM/sHg0jzlHQhVyVKLpEnzN3l51kB6Rsenl59wJti6pFj1q0B804NccE4dYt8qqA3puXF946
keOwLX1NbknyEntVxGgtDb7Gp8qNp1esET69ikZghUob7diqwD+6NbEwCyO31G2fFuHHrtOYCLNf
0veit6edVXvVbej03XXtGwgyjT4jAzxvs8c8D9S6m5Ds1oAF7xpijbBnpP60ieIeH510C3w9jUCJ
NVlO9DkL+/w6Siq5rkt/hqgPw771qul1Lmmd5UimvA6ujYoQT+zIdw/QNgDc1/vFE1jkmPgh3+gP
xGaYJKINqsITIZp7vh0mFQJk1TWq1HrZJaQQHTSCuupFj5zK3eb0gldeqCEZF7XZF1yrUf6cABe+
ayy2uWgvWtdg+lNGn/XcKh5l2dOmLMtq1j23ViM3lj1hSMvjCG1Rowge2xqFKB7qCMjWreGgXuQr
MXno+MIqV6YGyPciiEbRrzpO/7Rm7qYNC7sgSWxnJD0WlkqQg3hdlEV19KcQXCyNrzFeEZbqXlWl
Sp6HwA++BFqVr4paMD0xKgxibmKy3KgEuFNEwYce0M/V2ht1Ri0+uCTapnTuV1peDgerK/G0mjDU
Dm3fIVKUXZKC8cobgpcig12k7tcw8xxvOPUEfE4rbdTibUea6V5vPGw1gIatJaknctiQ/xldmhW9
8qWRN+ZOoLjddsN11Q5ABAMQ6MCH6266HCOI+m2aZnNWpQUTtLTT6FmVcYaIzrzoBzb4iyiBUEfA
ZFfeFPS8P5mJ05OvSMVBkkODE4p9fjcnMRIw6DcqP3DbyPxTGkMyW1hNvVM2Js6aqHNmeclT4iAk
BxFM/RCXLlE6mZscArMnglWPKprrYe1JgR6Ved7c7d9W+q3pDDeGnrsLR6CeSFgNWKiR8yU0XC/8
KR+WY+o5uM3r5paNc/fFYvHZkkFlHpj4nFXV23PSVbKbetiCRlPX9+YgTWKJJfnBQZKQZuyQHFiG
eEVRpXTuqcWuvYmTvoXsqZziQLYQW8ExbMGfMEEhHxabw6oPo+FyMsvmMvNzARjOi4+J5EG+jog3
LBb6wN5raTm6BoPf1slgCzpN39bR6EaLKSzj/RTW+S1Q7IQ4VgawjtNEF0S6WRf4Tp0SyWVbP5Jx
5yLGy5wXm9ZiNps1y2srTZxbQjrULmqaTF9ahceUbdCMV5cLhkwCPbspI/oSJXGZ1jqNfWsnZFPc
iwxIS9/y9eduiQGAcW8KQCCe6kVo+4JhYqSuMpTYL3rIPGRNXzlf2lVTzBAeMNRNiY4S6eUL0Y7F
yW7s4ZhVEWjWPo78q1rWxBMTG77t5bu3OinMhprLUJ/TyYzGJfCA4d62CFZiL576b15QBiCANPMS
KTdN9oTcNdIPGUuwgGIdeeqsUQH6KB3MYSY95lJ4/pMScUBDO+yGz5pNGEUM1zpkbxbBHkL7uw2c
Ql3PnqCDO/TxF95vdQLGyORuamngTsVIOufAuHIGjDkNbNkelG1Uk7q4QstMkoUN4efG8Stng7Gh
f5jALW4U3tKza9iUGkUdz5l9tYcpmLZsRuZSafpbvqr+UvfxvK1U6FU3YWVCPM2LmaXQTAlPKhwT
TbIuEPyEBxVpbb5tSdL29kDGSN5lzmgnGyKN9Su4B1jSVd8ByqtFPG7CLp0H3ZWD9DlEf3cBa2FK
lzkg1gZbHaFi5I2KiYkbO0fmIWNfPfVNWEWEPQQYTcIp8Y4MFKBi0rgI9lwhLrMrI2yYlisWtV46
Om0uxfmvnZa+K8LMdmfgFniwrKC8pX1HWmTFfug2Gi3m53qHWNEQ6iKspXNNzq54C+kbkEwo68xY
s+7OU0WjZfcds5n+iGorRF48UhIs+qoOsrUfTjROdY0tzMmR5Fhu+k5aO5UYOaP52GKwQJCmA0eA
paI7GmFNXjvfgu8vB0J+trbeOLdJYhTlanJ7Bx+pm1hfohRZxSojRPbeldqIZFkTr46TtO0u72ns
QDZCXEexSpuYAXg5FHhxItwqdRMsGQL7Xww/D2+bqYgwdRQ6Ao+wRkwK62E9qby6aZ2sXlWq4hGV
1Y69GanaIpxZurF2A8ZajmhjrJt27Z3dvjRuRUaJsabqdbVllboyWQ+FPcTU10Q6wiieqNGI8HBp
7+Ac6Mp8o3nZsK6UyW1isS4j0x1afV1GIj+bRAQZJ7b3ydrrSH3hV8MpFwma1azIe2Mhisojm7Gq
jCWGsODkEbe2N2OH8HBEINVitGulswMy8N1WZk8ikuKQ/n0UWrwnnbnQQ9ErByIEfPkveRIatxis
mFEkaNlWiVe2jC+1Ca46gMqqGmiuwqwn6NQsfIwuVICL0a8EvCxa8e0kuBYLbOkLKfziHCRadRGT
JUqBT4rqTmtQOY+W8satpzGfPKIf0u7Al3IUMnTl3meKxZaMPaexBaPgHXKu6ZcxcWeHuqX7t6zc
BRYmI3QvgC1k+6IRMXmxQ25uBR4IoMyKqGTWkLVfGeUat3o8LLKI7p8V4UHSBK5zN0fy0451e+RN
WwcMS+KROmCO7XGxs5DFqHHTJIRf9kw7cHmXGEhxnK+GKG5vcwvKBClECfmDXpmUC1Sd4Q2mmGSt
kwGFzdZx5cU8919TwXlr4qmfqVPdreCeXOdtwxAIvOdnInqa51EISRQXpPmVPxoxo7tc3ZCzVQ+E
DKWIWnIt2U5ami5HnDl3w+CdEI3qTzjaghsZzroWY1AoDmw5HBy0OzurSPwL2y5izrsdHpwgcemC
q1Bu81gYn8pqwhBAqJM9V+gIspi2IrFUX1XTfkQ1Szrvs+QRswspS9cxN059RDrUchGZbI4ruDF4
bUklX/n0hPc57oBwwRw+v8t9Kl5KOPtEcKH10Zpy2qqMu095jZa9R5aKFDOC7l1qBdZdnrzG3vYd
Z42kJbjj1iMQyTZwJ9JgLng8+oR/0enCmpNkEFBxG6ER8ALinVE6VosSrQfydlvER6mZxAAjoL0K
jWmApJNF0XWVlP5Izy7VVrjY1N5L/bFeMWluPqI6Du8JO+hOrubLF+5d/aQjE3orcVVtKoRY8F+M
ET+Y1lv6J4MAUziZcbTHWhMdlUAisxAdvYy04XmFHYcZYeuk0T7JaOm2WZpuSR/He+1qw94o7GKF
PGS40BI+bKw4CESADL9d49M6lonZfqpY6gJerUw2QmDZCQFtfsRs7Nw1QUsc1NgWBkMVYDCbMo6I
NzeNgYkzKg2ilHuALJYKsjudONWNbXXRKbeML4rNIMQTqL/1akCjfzlagwIyaFXrLo7JcUoGq3+w
WZT5LqeSpnzb5c0reY3j8n+yOU8Kj2z0nTkSosBsfRhWwo5IGGKML69ptuLwTtwIncd/SRfxvyB4
YO4/+m/56tyc11kTQkFv36rx9q1uk4acn1/+9JSHWXOX/3t/6Y8P9Je391f+v8E1TTmLPH9Qm76/
qfd3/EfHSM58sPb17W9/NdwP0N10Oox//UuSZ/6331b2B5OAHktYjnj/+fo6vzo3/+jT//EH+3oa
//jv/NEb/3pe9q9/+6tyhYmS+Sc/vi5nBKhhYspGHjv//HgarA9CUt7ZBimf8w9nidP9338aXtiz
N/NV6JOG84N2eIZI/TNXwG+O8KsrgI6xNKSO9f3rV41v/ddXgjufIZs28Cwg5udPdyXw5YFi/WfO
wfk1hW4d1k0VvjR8yl/uAoI50HOCySTSY/758Rw4/LEgW8lyv77Qf//3/5t3/sttQBE0Iwt+6tPr
ZJnowjIAMv7ep+dZMOvKOTdQC+afr1fcn+kkvGe6WD/7MDCcDzYjGHaJxJPNPz9eBUp90HUGKlwm
X8/Dn+5OmJ+JhvnTN4NBSo3B4+AfXA76B+nSNeVc/ElPA4+yd6wIz/Kfui8M84MtbaiSzrcLn+HY
r56MPBUkaBDC7L6tHUzueL0/033BE+vrm/pN1fIvFAi6+GDh8lBKcaRffXqeCpZwDE7At5vlT/do
RPxl/Gx5hKkGN42Y3TO/+0jg0SgQUBrs1t5//l/VB/94fXh/NJo/fStwrZuSi119uxV+rJNc/YOh
aOvyWPh2Iv5stwIpqha37889D+wPKAB4Iuhfr4XfrA9QhnBWUUt9f1z86dZJRAb61yv0338e8FB0
uBAkAoQfngeO+oCIatYw/Ou3wj/xyPz7zguMQfK6nrdH4Vv9e1uzf/QXvm86/uOff9twzLuKmcn6
w1+ct2BfX/trzTX/+n//cLe9P/B/9YffF4D31/n2z799wP/40j+81vdP9f03d+Fbda5eyO183w1+
e5tX55R9G3jlgCDXU3V+fat/0JqAt+Lm/OUN/e2vP7zdX90Df3j8uj6n3w8zn5lZCfL917+7L/37
rfVHh0Vldq6+H2Y+7Nfi/Wff7e5cjb81VX7dHP/0kcP0/BKck9890/D5qTl/9iUOZ1hZf/kf57T4
X3+5ONewAH44Q9Tdc8X9s69yca4yWhrxb5yn77uHnz4212nymwO/Vx4/e+DLc1wH59f+7a34fgbe
79JZ9PT9N/79i/F4fg3G37+HZlHVz7/A9WvI2/9+nPe7iF30f8KXeWpf25fgrarGHw5OWjZblp89
6ac2i87P34/zf1i7gt2EYRj6K3wClAluSEOTpk2ihwHa2UC0Bcoqpe1h+3pe0qSSRwoVzhXBy8N1
bMdJ8xxrqFYmYP1BR8KGCrEGRjbPrO6BlPRan06aBazpGPftyYE3dNbFKKdDE7Bc2MpmM2RSKett
XUODOxLEfbkixf9UVT1aKrxxXgSyjn1bB0jRV4RgjoBVG+bjvu6Wor82R6CjTdMCWd7d+laMXTLG
XS9Rious3IkZ5Xpf7vB03yq88n+o+P+YQE09gdc/m+anPz1h422C06NhZEGg1H+l4eUAoMdzyNvK
wTcGZxq4B3nwBLM3Lk4RSFufcmNhWRM+e9xKOWGa4VEHJI+Oa0GmCcx0W5O4f7tgUFm2Ul+oceiX
zQpYxnJPUEy+qOJbX5vFNuykM65XYqRl/5QgH94V3hEaf8gFt8IhXJ7BmfT/3ukbZQlCxDtSQS9+
Ahe6e3GK0EJDz+wLh4nHo0fEcm4Sia03u87k9So07MrFfsaX2PYb+0KRWVwAAAD//w==</cx:binary>
              </cx:geoCache>
            </cx:geography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  <cx:spPr>
    <a:ln cap="rnd">
      <a:noFill/>
      <a:round/>
    </a:ln>
    <a:effectLst>
      <a:glow rad="38100">
        <a:schemeClr val="accent1">
          <a:alpha val="40000"/>
        </a:schemeClr>
      </a:glow>
    </a:effectLst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31750</xdr:rowOff>
    </xdr:from>
    <xdr:to>
      <xdr:col>6</xdr:col>
      <xdr:colOff>330200</xdr:colOff>
      <xdr:row>10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F4506-B6E0-4A16-88E5-C60A73D38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31750</xdr:rowOff>
    </xdr:from>
    <xdr:to>
      <xdr:col>6</xdr:col>
      <xdr:colOff>342900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F713F-637C-426F-9C29-76FDA3A8D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10</xdr:row>
      <xdr:rowOff>95250</xdr:rowOff>
    </xdr:from>
    <xdr:to>
      <xdr:col>19</xdr:col>
      <xdr:colOff>215900</xdr:colOff>
      <xdr:row>20</xdr:row>
      <xdr:rowOff>73025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70A7B1-0C13-4883-9BD6-6C2808E0DAA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349250</xdr:colOff>
      <xdr:row>6</xdr:row>
      <xdr:rowOff>101599</xdr:rowOff>
    </xdr:from>
    <xdr:to>
      <xdr:col>12</xdr:col>
      <xdr:colOff>476250</xdr:colOff>
      <xdr:row>20</xdr:row>
      <xdr:rowOff>44450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9058F4A-EC2F-4C85-84D7-A4D4311142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6850" y="1219199"/>
              <a:ext cx="3594100" cy="25209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 fLocksWithSheet="0"/>
  </xdr:twoCellAnchor>
  <xdr:twoCellAnchor>
    <xdr:from>
      <xdr:col>12</xdr:col>
      <xdr:colOff>495300</xdr:colOff>
      <xdr:row>0</xdr:row>
      <xdr:rowOff>19050</xdr:rowOff>
    </xdr:from>
    <xdr:to>
      <xdr:col>19</xdr:col>
      <xdr:colOff>247650</xdr:colOff>
      <xdr:row>10</xdr:row>
      <xdr:rowOff>88900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16AFDF-3014-4BB4-B48E-DB97C6AE2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133350</xdr:colOff>
      <xdr:row>7</xdr:row>
      <xdr:rowOff>12699</xdr:rowOff>
    </xdr:from>
    <xdr:to>
      <xdr:col>12</xdr:col>
      <xdr:colOff>215900</xdr:colOff>
      <xdr:row>8</xdr:row>
      <xdr:rowOff>152399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5298AD3-CA30-4EE8-ABE8-E2987A15207D}"/>
            </a:ext>
          </a:extLst>
        </xdr:cNvPr>
        <xdr:cNvSpPr/>
      </xdr:nvSpPr>
      <xdr:spPr>
        <a:xfrm>
          <a:off x="5619750" y="1314449"/>
          <a:ext cx="1720850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 i="1" u="sng" strike="noStrike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Total Order By State</a:t>
          </a:r>
          <a:r>
            <a:rPr lang="en-IN" sz="1400" b="1" i="1" u="sng">
              <a:solidFill>
                <a:schemeClr val="accent1">
                  <a:lumMod val="60000"/>
                  <a:lumOff val="40000"/>
                </a:schemeClr>
              </a:solidFill>
            </a:rPr>
            <a:t> 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48958334" backgroundQuery="1" createdVersion="6" refreshedVersion="6" minRefreshableVersion="3" recordCount="0" supportSubquery="1" supportAdvancedDrill="1" xr:uid="{F0D00BF6-66FA-4004-8D3F-EE446A582359}">
  <cacheSource type="external" connectionId="2"/>
  <cacheFields count="1">
    <cacheField name="[Measures].[Sum of Total Commision]" caption="Sum of Total Commision" numFmtId="0" hierarchy="14" level="32767"/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50000004" backgroundQuery="1" createdVersion="6" refreshedVersion="6" minRefreshableVersion="3" recordCount="0" supportSubquery="1" supportAdvancedDrill="1" xr:uid="{404BA652-5013-446E-9D4F-7C2D9C2A1CB9}">
  <cacheSource type="external" connectionId="2"/>
  <cacheFields count="1">
    <cacheField name="[Measures].[Sum of Total Sales]" caption="Sum of Total Sales" numFmtId="0" hierarchy="13" level="32767"/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51504628" backgroundQuery="1" createdVersion="6" refreshedVersion="6" minRefreshableVersion="3" recordCount="0" supportSubquery="1" supportAdvancedDrill="1" xr:uid="{308B6588-0B7C-4EE5-B47F-C329B55FE7CA}">
  <cacheSource type="external" connectionId="2"/>
  <cacheFields count="1">
    <cacheField name="[Measures].[Count of Order IDs]" caption="Count of Order IDs" numFmtId="0" hierarchy="12" level="32767"/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53356483" backgroundQuery="1" createdVersion="6" refreshedVersion="6" minRefreshableVersion="3" recordCount="0" supportSubquery="1" supportAdvancedDrill="1" xr:uid="{B960B808-E28A-4EF3-82E8-D6E6F0C4042E}">
  <cacheSource type="external" connectionId="2"/>
  <cacheFields count="2">
    <cacheField name="[Measures].[Count of Order IDs]" caption="Count of Order IDs" numFmtId="0" hierarchy="12" level="32767"/>
    <cacheField name="[Data].[Date].[Date]" caption="Date" numFmtId="0" hierarchy="1" level="1">
      <sharedItems containsSemiMixedTypes="0" containsNonDate="0" containsDate="1" containsString="0" minDate="2018-07-01T00:00:00" maxDate="2018-08-0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>
      <fieldsUsage count="2">
        <fieldUsage x="-1"/>
        <fieldUsage x="1"/>
      </fieldsUsage>
    </cacheHierarchy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5462963" backgroundQuery="1" createdVersion="6" refreshedVersion="6" minRefreshableVersion="3" recordCount="0" supportSubquery="1" supportAdvancedDrill="1" xr:uid="{EC2D756E-1DFB-4FA2-AAE6-128A07EC7030}">
  <cacheSource type="external" connectionId="2"/>
  <cacheFields count="2">
    <cacheField name="[Data].[State].[State]" caption="State" numFmtId="0" hierarchy="9" level="1">
      <sharedItems count="12">
        <s v="Bihar"/>
        <s v="Delhi"/>
        <s v="Goa"/>
        <s v="Gujarat"/>
        <s v="Haryana"/>
        <s v="Jharkhand"/>
        <s v="Karnataka"/>
        <s v="Kerala"/>
        <s v="Maharashtra"/>
        <s v="Meghalaya"/>
        <s v="Uttar Pradesh"/>
        <s v="West Bengal"/>
      </sharedItems>
    </cacheField>
    <cacheField name="[Measures].[Count of Order IDs]" caption="Count of Order IDs" numFmtId="0" hierarchy="12" level="32767"/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2" memberValueDatatype="130" unbalanced="0">
      <fieldsUsage count="2">
        <fieldUsage x="-1"/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55902777" backgroundQuery="1" createdVersion="6" refreshedVersion="6" minRefreshableVersion="3" recordCount="0" supportSubquery="1" supportAdvancedDrill="1" xr:uid="{2CEE5038-FB0A-446E-BAB9-82B8E10FC38C}">
  <cacheSource type="external" connectionId="2"/>
  <cacheFields count="2">
    <cacheField name="[Data].[Sales Rep].[Sales Rep]" caption="Sales Rep" numFmtId="0" hierarchy="3" level="1">
      <sharedItems count="5">
        <s v="Bob"/>
        <s v="John"/>
        <s v="Laura"/>
        <s v="Mark"/>
        <s v="Stacey"/>
      </sharedItems>
    </cacheField>
    <cacheField name="[Measures].[Sum of Total Commision]" caption="Sum of Total Commision" numFmtId="0" hierarchy="14" level="32767"/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2" memberValueDatatype="130" unbalanced="0">
      <fieldsUsage count="2">
        <fieldUsage x="-1"/>
        <fieldUsage x="0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1657175924" backgroundQuery="1" createdVersion="6" refreshedVersion="6" minRefreshableVersion="3" recordCount="0" supportSubquery="1" supportAdvancedDrill="1" xr:uid="{95D7114C-813A-44AF-9470-E48216300711}">
  <cacheSource type="external" connectionId="2"/>
  <cacheFields count="2">
    <cacheField name="[Measures].[Sum of Total Sales]" caption="Sum of Total Sales" numFmtId="0" hierarchy="13" level="32767"/>
    <cacheField name="[Data].[Sales Rep].[Sales Rep]" caption="Sales Rep" numFmtId="0" hierarchy="3" level="1">
      <sharedItems count="5">
        <s v="Bob"/>
        <s v="John"/>
        <s v="Laura"/>
        <s v="Mark"/>
        <s v="Stacey"/>
      </sharedItems>
    </cacheField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0" memberValueDatatype="130" unbalanced="0"/>
    <cacheHierarchy uniqueName="[Data].[Sales Rep]" caption="Sales Rep" attribute="1" defaultMemberUniqueName="[Data].[Sales Rep].[All]" allUniqueName="[Data].[Sales Rep].[All]" dimensionUniqueName="[Data]" displayFolder="" count="2" memberValueDatatype="130" unbalanced="0">
      <fieldsUsage count="2">
        <fieldUsage x="-1"/>
        <fieldUsage x="1"/>
      </fieldsUsage>
    </cacheHierarchy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0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95.492940625001" backgroundQuery="1" createdVersion="6" refreshedVersion="6" minRefreshableVersion="3" recordCount="0" supportSubquery="1" supportAdvancedDrill="1" xr:uid="{51A1DA1E-C95A-4346-B959-D63080606C48}">
  <cacheSource type="external" connectionId="2"/>
  <cacheFields count="2">
    <cacheField name="[Data].[Item].[Item]" caption="Item" numFmtId="0" hierarchy="2" level="1">
      <sharedItems count="5">
        <s v="Diary"/>
        <s v="Office Chair"/>
        <s v="Printer"/>
        <s v="Projector"/>
        <s v="White Board"/>
      </sharedItems>
    </cacheField>
    <cacheField name="[Measures].[Sum of Quantity]" caption="Sum of Quantity" numFmtId="0" hierarchy="15" level="32767"/>
  </cacheFields>
  <cacheHierarchies count="16">
    <cacheHierarchy uniqueName="[Data].[Order IDs]" caption="Order IDs" attribute="1" defaultMemberUniqueName="[Data].[Order IDs].[All]" allUniqueName="[Data].[Order IDs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Item]" caption="Item" attribute="1" defaultMemberUniqueName="[Data].[Item].[All]" allUniqueName="[Data].[Item].[All]" dimensionUniqueName="[Data]" displayFolder="" count="2" memberValueDatatype="130" unbalanced="0">
      <fieldsUsage count="2">
        <fieldUsage x="-1"/>
        <fieldUsage x="0"/>
      </fieldsUsage>
    </cacheHierarchy>
    <cacheHierarchy uniqueName="[Data].[Sales Rep]" caption="Sales Rep" attribute="1" defaultMemberUniqueName="[Data].[Sales Rep].[All]" allUniqueName="[Data].[Sales Rep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Price]" caption="Price" attribute="1" defaultMemberUniqueName="[Data].[Price].[All]" allUniqueName="[Data].[Price].[All]" dimensionUniqueName="[Data]" displayFolder="" count="0" memberValueDatatype="20" unbalanced="0"/>
    <cacheHierarchy uniqueName="[Data].[Total Sales]" caption="Total Sales" attribute="1" defaultMemberUniqueName="[Data].[Total Sales].[All]" allUniqueName="[Data].[Total Sales].[All]" dimensionUniqueName="[Data]" displayFolder="" count="2" memberValueDatatype="20" unbalanced="0"/>
    <cacheHierarchy uniqueName="[Data].[Commission]" caption="Commission" attribute="1" defaultMemberUniqueName="[Data].[Commission].[All]" allUniqueName="[Data].[Commission].[All]" dimensionUniqueName="[Data]" displayFolder="" count="0" memberValueDatatype="5" unbalanced="0"/>
    <cacheHierarchy uniqueName="[Data].[Total Commision]" caption="Total Commision" attribute="1" defaultMemberUniqueName="[Data].[Total Commision].[All]" allUniqueName="[Data].[Total Commision].[All]" dimensionUniqueName="[Data]" displayFolder="" count="2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Count of Order IDs]" caption="Count of Order IDs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 Sales]" caption="Sum of Total Sales" measure="1" displayFolder="" measureGroup="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 Commision]" caption="Sum of Total Commision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75206-80C2-4443-AFF7-6DBD680A2714}" name="PivotTable4" cacheId="7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1:C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ommision" fld="0" baseField="0" baseItem="688294267"/>
  </dataFields>
  <formats count="5"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outline="0" fieldPosition="0">
        <references count="1">
          <reference field="4294967294" count="1">
            <x v="0"/>
          </reference>
        </references>
      </pivotArea>
    </format>
    <format dxfId="61">
      <pivotArea outline="0" collapsedLevelsAreSubtotals="1" fieldPosition="0"/>
    </format>
  </format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Commision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19065-92B0-4D5F-814E-4FD46D934BF3}" name="PivotTable3" cacheId="7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7:C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 Sales" fld="0" baseField="0" baseItem="0"/>
  </dataFields>
  <formats count="3"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00501-5A0A-4171-9D41-0080EE954B51}" name="PivotTable2" cacheId="7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 IDs" fld="0" subtotal="count" baseField="0" baseItem="0"/>
  </dataFields>
  <formats count="3"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CF0C0-F6B3-4DB7-B618-39182A404D01}" name="PivotTable9" cacheId="7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C49:D8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Order IDs" fld="0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34EA2-F94E-4539-8C58-DA0F4970B8AE}" name="PivotTable8" cacheId="73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3:D4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s" fld="1" subtotal="count" baseField="0" baseItem="0"/>
  </dataField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2EC42-75D7-4CDD-BC1F-A43BE3DAB9B8}" name="PivotTable7" cacheId="7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C24:D3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mision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746A8-064B-497F-8582-9F4ED3F24EE3}" name="PivotTable6" cacheId="74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C14:D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49E5B-34DC-452D-9E3E-2822DCDB078A}" name="PivotTable5" cacheId="75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C4:D1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16"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sh board 1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767A76-7CE8-4B65-B8B5-2DEFCBDAEA3D}" autoFormatId="16" applyNumberFormats="0" applyBorderFormats="0" applyFontFormats="0" applyPatternFormats="0" applyAlignmentFormats="0" applyWidthHeightFormats="0">
  <queryTableRefresh nextId="11">
    <queryTableFields count="10">
      <queryTableField id="1" name="Order IDs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9B234-358E-481C-961E-A5CB25A4C9FB}" name="Data" displayName="Data" ref="A1:J1301" tableType="queryTable" totalsRowShown="0">
  <autoFilter ref="A1:J1301" xr:uid="{C2280F48-364B-48DB-9C37-89E095185991}"/>
  <tableColumns count="10">
    <tableColumn id="1" xr3:uid="{CC26CAFF-AF8D-4890-8694-DAAE7E15D014}" uniqueName="1" name="Order IDs" queryTableFieldId="1"/>
    <tableColumn id="2" xr3:uid="{302E4301-1115-498A-A2D3-65DB8CB04B8A}" uniqueName="2" name="Date" queryTableFieldId="2" dataDxfId="5"/>
    <tableColumn id="3" xr3:uid="{C37DA503-5BE8-4FD7-A103-C059FBC71FC1}" uniqueName="3" name="Item" queryTableFieldId="3"/>
    <tableColumn id="4" xr3:uid="{03F5060C-53FC-411C-A963-253D1C4836A1}" uniqueName="4" name="Sales Rep" queryTableFieldId="4"/>
    <tableColumn id="5" xr3:uid="{D931D31B-0ACF-4FAB-8DD4-2D60140F9726}" uniqueName="5" name="Quantity" queryTableFieldId="5" dataDxfId="4"/>
    <tableColumn id="6" xr3:uid="{EE3496AC-21A0-4AA2-B8B2-F27C6CDD20A1}" uniqueName="6" name="Price" queryTableFieldId="6" dataDxfId="3"/>
    <tableColumn id="7" xr3:uid="{C059F899-7FC6-4F63-89D7-FE434D319AE8}" uniqueName="7" name="Total Sales" queryTableFieldId="7" dataDxfId="2"/>
    <tableColumn id="8" xr3:uid="{942B3D16-E3FB-43B8-839E-A2D4A9D26F4D}" uniqueName="8" name="Commission" queryTableFieldId="8" dataDxfId="1"/>
    <tableColumn id="9" xr3:uid="{1F704D25-0E58-4406-9B34-3FF8EFD48B2C}" uniqueName="9" name="Total Commision" queryTableFieldId="9" dataDxfId="0"/>
    <tableColumn id="10" xr3:uid="{DED6C742-1018-4412-9C79-30958B4F422F}" uniqueName="10" name="Stat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3C40-B483-45AA-AF50-9EE6F68EA831}">
  <dimension ref="A1:J1301"/>
  <sheetViews>
    <sheetView topLeftCell="A1281" workbookViewId="0">
      <selection activeCell="B1292" sqref="B1292"/>
    </sheetView>
  </sheetViews>
  <sheetFormatPr defaultColWidth="18.08984375" defaultRowHeight="14.5" x14ac:dyDescent="0.35"/>
  <cols>
    <col min="1" max="1" width="13.81640625" bestFit="1" customWidth="1"/>
    <col min="2" max="2" width="10.08984375" style="1" bestFit="1" customWidth="1"/>
    <col min="3" max="3" width="11.26953125" bestFit="1" customWidth="1"/>
    <col min="4" max="4" width="10.90625" bestFit="1" customWidth="1"/>
    <col min="5" max="5" width="10.453125" style="1" bestFit="1" customWidth="1"/>
    <col min="6" max="6" width="7.1796875" style="1" bestFit="1" customWidth="1"/>
    <col min="7" max="7" width="12" style="1" bestFit="1" customWidth="1"/>
    <col min="8" max="8" width="13.26953125" style="1" bestFit="1" customWidth="1"/>
    <col min="9" max="9" width="17.26953125" style="1" bestFit="1" customWidth="1"/>
    <col min="10" max="10" width="12.26953125" bestFit="1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35">
      <c r="A2" t="s">
        <v>10</v>
      </c>
      <c r="B2" s="2">
        <v>43282</v>
      </c>
      <c r="C2" t="s">
        <v>11</v>
      </c>
      <c r="D2" t="s">
        <v>12</v>
      </c>
      <c r="E2" s="1">
        <v>10</v>
      </c>
      <c r="F2" s="1">
        <v>80</v>
      </c>
      <c r="G2" s="1">
        <v>800</v>
      </c>
      <c r="H2" s="1">
        <v>0.01</v>
      </c>
      <c r="I2" s="1">
        <v>8</v>
      </c>
      <c r="J2" t="s">
        <v>13</v>
      </c>
    </row>
    <row r="3" spans="1:10" x14ac:dyDescent="0.35">
      <c r="A3" t="s">
        <v>14</v>
      </c>
      <c r="B3" s="2">
        <v>43282</v>
      </c>
      <c r="C3" t="s">
        <v>15</v>
      </c>
      <c r="D3" t="s">
        <v>16</v>
      </c>
      <c r="E3" s="1">
        <v>14</v>
      </c>
      <c r="F3" s="1">
        <v>40</v>
      </c>
      <c r="G3" s="1">
        <v>560</v>
      </c>
      <c r="H3" s="1">
        <v>0.06</v>
      </c>
      <c r="I3" s="1">
        <v>34</v>
      </c>
      <c r="J3" t="s">
        <v>17</v>
      </c>
    </row>
    <row r="4" spans="1:10" x14ac:dyDescent="0.35">
      <c r="A4" t="s">
        <v>18</v>
      </c>
      <c r="B4" s="2">
        <v>43282</v>
      </c>
      <c r="C4" t="s">
        <v>19</v>
      </c>
      <c r="D4" t="s">
        <v>16</v>
      </c>
      <c r="E4" s="1">
        <v>22</v>
      </c>
      <c r="F4" s="1">
        <v>230</v>
      </c>
      <c r="G4" s="1">
        <v>5060</v>
      </c>
      <c r="H4" s="1">
        <v>0.11</v>
      </c>
      <c r="I4" s="1">
        <v>557</v>
      </c>
      <c r="J4" t="s">
        <v>20</v>
      </c>
    </row>
    <row r="5" spans="1:10" x14ac:dyDescent="0.35">
      <c r="A5" t="s">
        <v>21</v>
      </c>
      <c r="B5" s="2">
        <v>43282</v>
      </c>
      <c r="C5" t="s">
        <v>19</v>
      </c>
      <c r="D5" t="s">
        <v>12</v>
      </c>
      <c r="E5" s="1">
        <v>8</v>
      </c>
      <c r="F5" s="1">
        <v>230</v>
      </c>
      <c r="G5" s="1">
        <v>1840</v>
      </c>
      <c r="H5" s="1">
        <v>0.03</v>
      </c>
      <c r="I5" s="1">
        <v>55</v>
      </c>
      <c r="J5" t="s">
        <v>22</v>
      </c>
    </row>
    <row r="6" spans="1:10" x14ac:dyDescent="0.35">
      <c r="A6" t="s">
        <v>23</v>
      </c>
      <c r="B6" s="2">
        <v>43282</v>
      </c>
      <c r="C6" t="s">
        <v>19</v>
      </c>
      <c r="D6" t="s">
        <v>24</v>
      </c>
      <c r="E6" s="1">
        <v>12</v>
      </c>
      <c r="F6" s="1">
        <v>230</v>
      </c>
      <c r="G6" s="1">
        <v>2760</v>
      </c>
      <c r="H6" s="1">
        <v>0.03</v>
      </c>
      <c r="I6" s="1">
        <v>83</v>
      </c>
      <c r="J6" t="s">
        <v>25</v>
      </c>
    </row>
    <row r="7" spans="1:10" x14ac:dyDescent="0.35">
      <c r="A7" t="s">
        <v>26</v>
      </c>
      <c r="B7" s="2">
        <v>43282</v>
      </c>
      <c r="C7" t="s">
        <v>11</v>
      </c>
      <c r="D7" t="s">
        <v>27</v>
      </c>
      <c r="E7" s="1">
        <v>19</v>
      </c>
      <c r="F7" s="1">
        <v>80</v>
      </c>
      <c r="G7" s="1">
        <v>1520</v>
      </c>
      <c r="H7" s="1">
        <v>0.02</v>
      </c>
      <c r="I7" s="1">
        <v>30</v>
      </c>
      <c r="J7" t="s">
        <v>28</v>
      </c>
    </row>
    <row r="8" spans="1:10" x14ac:dyDescent="0.35">
      <c r="A8" t="s">
        <v>29</v>
      </c>
      <c r="B8" s="2">
        <v>43282</v>
      </c>
      <c r="C8" t="s">
        <v>30</v>
      </c>
      <c r="D8" t="s">
        <v>31</v>
      </c>
      <c r="E8" s="1">
        <v>17</v>
      </c>
      <c r="F8" s="1">
        <v>16</v>
      </c>
      <c r="G8" s="1">
        <v>272</v>
      </c>
      <c r="H8" s="1">
        <v>0.08</v>
      </c>
      <c r="I8" s="1">
        <v>22</v>
      </c>
      <c r="J8" t="s">
        <v>32</v>
      </c>
    </row>
    <row r="9" spans="1:10" x14ac:dyDescent="0.35">
      <c r="A9" t="s">
        <v>33</v>
      </c>
      <c r="B9" s="2">
        <v>43282</v>
      </c>
      <c r="C9" t="s">
        <v>34</v>
      </c>
      <c r="D9" t="s">
        <v>27</v>
      </c>
      <c r="E9" s="1">
        <v>7</v>
      </c>
      <c r="F9" s="1">
        <v>150</v>
      </c>
      <c r="G9" s="1">
        <v>1050</v>
      </c>
      <c r="H9" s="1">
        <v>0.05</v>
      </c>
      <c r="I9" s="1">
        <v>52</v>
      </c>
      <c r="J9" t="s">
        <v>35</v>
      </c>
    </row>
    <row r="10" spans="1:10" x14ac:dyDescent="0.35">
      <c r="A10" t="s">
        <v>36</v>
      </c>
      <c r="B10" s="2">
        <v>43282</v>
      </c>
      <c r="C10" t="s">
        <v>34</v>
      </c>
      <c r="D10" t="s">
        <v>27</v>
      </c>
      <c r="E10" s="1">
        <v>20</v>
      </c>
      <c r="F10" s="1">
        <v>150</v>
      </c>
      <c r="G10" s="1">
        <v>3000</v>
      </c>
      <c r="H10" s="1">
        <v>0.1</v>
      </c>
      <c r="I10" s="1">
        <v>300</v>
      </c>
      <c r="J10" t="s">
        <v>37</v>
      </c>
    </row>
    <row r="11" spans="1:10" x14ac:dyDescent="0.35">
      <c r="A11" t="s">
        <v>38</v>
      </c>
      <c r="B11" s="2">
        <v>43282</v>
      </c>
      <c r="C11" t="s">
        <v>30</v>
      </c>
      <c r="D11" t="s">
        <v>12</v>
      </c>
      <c r="E11" s="1">
        <v>21</v>
      </c>
      <c r="F11" s="1">
        <v>16</v>
      </c>
      <c r="G11" s="1">
        <v>336</v>
      </c>
      <c r="H11" s="1">
        <v>0.09</v>
      </c>
      <c r="I11" s="1">
        <v>30</v>
      </c>
      <c r="J11" t="s">
        <v>39</v>
      </c>
    </row>
    <row r="12" spans="1:10" x14ac:dyDescent="0.35">
      <c r="A12" t="s">
        <v>40</v>
      </c>
      <c r="B12" s="2">
        <v>43282</v>
      </c>
      <c r="C12" t="s">
        <v>19</v>
      </c>
      <c r="D12" t="s">
        <v>16</v>
      </c>
      <c r="E12" s="1">
        <v>7</v>
      </c>
      <c r="F12" s="1">
        <v>230</v>
      </c>
      <c r="G12" s="1">
        <v>1610</v>
      </c>
      <c r="H12" s="1">
        <v>0.01</v>
      </c>
      <c r="I12" s="1">
        <v>16</v>
      </c>
      <c r="J12" t="s">
        <v>41</v>
      </c>
    </row>
    <row r="13" spans="1:10" x14ac:dyDescent="0.35">
      <c r="A13" t="s">
        <v>42</v>
      </c>
      <c r="B13" s="2">
        <v>43283</v>
      </c>
      <c r="C13" t="s">
        <v>11</v>
      </c>
      <c r="D13" t="s">
        <v>27</v>
      </c>
      <c r="E13" s="1">
        <v>7</v>
      </c>
      <c r="F13" s="1">
        <v>80</v>
      </c>
      <c r="G13" s="1">
        <v>560</v>
      </c>
      <c r="H13" s="1">
        <v>7.0000000000000007E-2</v>
      </c>
      <c r="I13" s="1">
        <v>39</v>
      </c>
      <c r="J13" t="s">
        <v>43</v>
      </c>
    </row>
    <row r="14" spans="1:10" x14ac:dyDescent="0.35">
      <c r="A14" t="s">
        <v>44</v>
      </c>
      <c r="B14" s="2">
        <v>43283</v>
      </c>
      <c r="C14" t="s">
        <v>11</v>
      </c>
      <c r="D14" t="s">
        <v>31</v>
      </c>
      <c r="E14" s="1">
        <v>9</v>
      </c>
      <c r="F14" s="1">
        <v>80</v>
      </c>
      <c r="G14" s="1">
        <v>720</v>
      </c>
      <c r="H14" s="1">
        <v>0.02</v>
      </c>
      <c r="I14" s="1">
        <v>14</v>
      </c>
      <c r="J14" t="s">
        <v>13</v>
      </c>
    </row>
    <row r="15" spans="1:10" x14ac:dyDescent="0.35">
      <c r="A15" t="s">
        <v>45</v>
      </c>
      <c r="B15" s="2">
        <v>43283</v>
      </c>
      <c r="C15" t="s">
        <v>15</v>
      </c>
      <c r="D15" t="s">
        <v>31</v>
      </c>
      <c r="E15" s="1">
        <v>16</v>
      </c>
      <c r="F15" s="1">
        <v>40</v>
      </c>
      <c r="G15" s="1">
        <v>640</v>
      </c>
      <c r="H15" s="1">
        <v>0.09</v>
      </c>
      <c r="I15" s="1">
        <v>58</v>
      </c>
      <c r="J15" t="s">
        <v>17</v>
      </c>
    </row>
    <row r="16" spans="1:10" x14ac:dyDescent="0.35">
      <c r="A16" t="s">
        <v>46</v>
      </c>
      <c r="B16" s="2">
        <v>43283</v>
      </c>
      <c r="C16" t="s">
        <v>34</v>
      </c>
      <c r="D16" t="s">
        <v>16</v>
      </c>
      <c r="E16" s="1">
        <v>23</v>
      </c>
      <c r="F16" s="1">
        <v>150</v>
      </c>
      <c r="G16" s="1">
        <v>3450</v>
      </c>
      <c r="H16" s="1">
        <v>0.11</v>
      </c>
      <c r="I16" s="1">
        <v>380</v>
      </c>
      <c r="J16" t="s">
        <v>20</v>
      </c>
    </row>
    <row r="17" spans="1:10" x14ac:dyDescent="0.35">
      <c r="A17" t="s">
        <v>47</v>
      </c>
      <c r="B17" s="2">
        <v>43283</v>
      </c>
      <c r="C17" t="s">
        <v>30</v>
      </c>
      <c r="D17" t="s">
        <v>27</v>
      </c>
      <c r="E17" s="1">
        <v>22</v>
      </c>
      <c r="F17" s="1">
        <v>16</v>
      </c>
      <c r="G17" s="1">
        <v>352</v>
      </c>
      <c r="H17" s="1">
        <v>0.03</v>
      </c>
      <c r="I17" s="1">
        <v>11</v>
      </c>
      <c r="J17" t="s">
        <v>22</v>
      </c>
    </row>
    <row r="18" spans="1:10" x14ac:dyDescent="0.35">
      <c r="A18" t="s">
        <v>48</v>
      </c>
      <c r="B18" s="2">
        <v>43283</v>
      </c>
      <c r="C18" t="s">
        <v>15</v>
      </c>
      <c r="D18" t="s">
        <v>27</v>
      </c>
      <c r="E18" s="1">
        <v>23</v>
      </c>
      <c r="F18" s="1">
        <v>40</v>
      </c>
      <c r="G18" s="1">
        <v>920</v>
      </c>
      <c r="H18" s="1">
        <v>0.06</v>
      </c>
      <c r="I18" s="1">
        <v>55</v>
      </c>
      <c r="J18" t="s">
        <v>25</v>
      </c>
    </row>
    <row r="19" spans="1:10" x14ac:dyDescent="0.35">
      <c r="A19" t="s">
        <v>49</v>
      </c>
      <c r="B19" s="2">
        <v>43283</v>
      </c>
      <c r="C19" t="s">
        <v>11</v>
      </c>
      <c r="D19" t="s">
        <v>12</v>
      </c>
      <c r="E19" s="1">
        <v>20</v>
      </c>
      <c r="F19" s="1">
        <v>80</v>
      </c>
      <c r="G19" s="1">
        <v>1600</v>
      </c>
      <c r="H19" s="1">
        <v>0.01</v>
      </c>
      <c r="I19" s="1">
        <v>16</v>
      </c>
      <c r="J19" t="s">
        <v>28</v>
      </c>
    </row>
    <row r="20" spans="1:10" x14ac:dyDescent="0.35">
      <c r="A20" t="s">
        <v>50</v>
      </c>
      <c r="B20" s="2">
        <v>43284</v>
      </c>
      <c r="C20" t="s">
        <v>11</v>
      </c>
      <c r="D20" t="s">
        <v>27</v>
      </c>
      <c r="E20" s="1">
        <v>11</v>
      </c>
      <c r="F20" s="1">
        <v>80</v>
      </c>
      <c r="G20" s="1">
        <v>880</v>
      </c>
      <c r="H20" s="1">
        <v>0.01</v>
      </c>
      <c r="I20" s="1">
        <v>9</v>
      </c>
      <c r="J20" t="s">
        <v>32</v>
      </c>
    </row>
    <row r="21" spans="1:10" x14ac:dyDescent="0.35">
      <c r="A21" t="s">
        <v>51</v>
      </c>
      <c r="B21" s="2">
        <v>43284</v>
      </c>
      <c r="C21" t="s">
        <v>15</v>
      </c>
      <c r="D21" t="s">
        <v>27</v>
      </c>
      <c r="E21" s="1">
        <v>9</v>
      </c>
      <c r="F21" s="1">
        <v>40</v>
      </c>
      <c r="G21" s="1">
        <v>360</v>
      </c>
      <c r="H21" s="1">
        <v>0.06</v>
      </c>
      <c r="I21" s="1">
        <v>22</v>
      </c>
      <c r="J21" t="s">
        <v>35</v>
      </c>
    </row>
    <row r="22" spans="1:10" x14ac:dyDescent="0.35">
      <c r="A22" t="s">
        <v>52</v>
      </c>
      <c r="B22" s="2">
        <v>43284</v>
      </c>
      <c r="C22" t="s">
        <v>11</v>
      </c>
      <c r="D22" t="s">
        <v>31</v>
      </c>
      <c r="E22" s="1">
        <v>16</v>
      </c>
      <c r="F22" s="1">
        <v>80</v>
      </c>
      <c r="G22" s="1">
        <v>1280</v>
      </c>
      <c r="H22" s="1">
        <v>0.09</v>
      </c>
      <c r="I22" s="1">
        <v>115</v>
      </c>
      <c r="J22" t="s">
        <v>37</v>
      </c>
    </row>
    <row r="23" spans="1:10" x14ac:dyDescent="0.35">
      <c r="A23" t="s">
        <v>53</v>
      </c>
      <c r="B23" s="2">
        <v>43284</v>
      </c>
      <c r="C23" t="s">
        <v>11</v>
      </c>
      <c r="D23" t="s">
        <v>24</v>
      </c>
      <c r="E23" s="1">
        <v>10</v>
      </c>
      <c r="F23" s="1">
        <v>80</v>
      </c>
      <c r="G23" s="1">
        <v>800</v>
      </c>
      <c r="H23" s="1">
        <v>0.08</v>
      </c>
      <c r="I23" s="1">
        <v>64</v>
      </c>
      <c r="J23" t="s">
        <v>39</v>
      </c>
    </row>
    <row r="24" spans="1:10" x14ac:dyDescent="0.35">
      <c r="A24" t="s">
        <v>54</v>
      </c>
      <c r="B24" s="2">
        <v>43284</v>
      </c>
      <c r="C24" t="s">
        <v>30</v>
      </c>
      <c r="D24" t="s">
        <v>24</v>
      </c>
      <c r="E24" s="1">
        <v>12</v>
      </c>
      <c r="F24" s="1">
        <v>16</v>
      </c>
      <c r="G24" s="1">
        <v>192</v>
      </c>
      <c r="H24" s="1">
        <v>0.11</v>
      </c>
      <c r="I24" s="1">
        <v>21</v>
      </c>
      <c r="J24" t="s">
        <v>41</v>
      </c>
    </row>
    <row r="25" spans="1:10" x14ac:dyDescent="0.35">
      <c r="A25" t="s">
        <v>55</v>
      </c>
      <c r="B25" s="2">
        <v>43284</v>
      </c>
      <c r="C25" t="s">
        <v>34</v>
      </c>
      <c r="D25" t="s">
        <v>27</v>
      </c>
      <c r="E25" s="1">
        <v>6</v>
      </c>
      <c r="F25" s="1">
        <v>150</v>
      </c>
      <c r="G25" s="1">
        <v>900</v>
      </c>
      <c r="H25" s="1">
        <v>0.03</v>
      </c>
      <c r="I25" s="1">
        <v>27</v>
      </c>
      <c r="J25" t="s">
        <v>43</v>
      </c>
    </row>
    <row r="26" spans="1:10" x14ac:dyDescent="0.35">
      <c r="A26" t="s">
        <v>56</v>
      </c>
      <c r="B26" s="2">
        <v>43284</v>
      </c>
      <c r="C26" t="s">
        <v>30</v>
      </c>
      <c r="D26" t="s">
        <v>24</v>
      </c>
      <c r="E26" s="1">
        <v>11</v>
      </c>
      <c r="F26" s="1">
        <v>16</v>
      </c>
      <c r="G26" s="1">
        <v>176</v>
      </c>
      <c r="H26" s="1">
        <v>0.04</v>
      </c>
      <c r="I26" s="1">
        <v>7</v>
      </c>
      <c r="J26" t="s">
        <v>13</v>
      </c>
    </row>
    <row r="27" spans="1:10" x14ac:dyDescent="0.35">
      <c r="A27" t="s">
        <v>57</v>
      </c>
      <c r="B27" s="2">
        <v>43284</v>
      </c>
      <c r="C27" t="s">
        <v>11</v>
      </c>
      <c r="D27" t="s">
        <v>27</v>
      </c>
      <c r="E27" s="1">
        <v>22</v>
      </c>
      <c r="F27" s="1">
        <v>80</v>
      </c>
      <c r="G27" s="1">
        <v>1760</v>
      </c>
      <c r="H27" s="1">
        <v>0.03</v>
      </c>
      <c r="I27" s="1">
        <v>53</v>
      </c>
      <c r="J27" t="s">
        <v>17</v>
      </c>
    </row>
    <row r="28" spans="1:10" x14ac:dyDescent="0.35">
      <c r="A28" t="s">
        <v>58</v>
      </c>
      <c r="B28" s="2">
        <v>43284</v>
      </c>
      <c r="C28" t="s">
        <v>30</v>
      </c>
      <c r="D28" t="s">
        <v>16</v>
      </c>
      <c r="E28" s="1">
        <v>7</v>
      </c>
      <c r="F28" s="1">
        <v>16</v>
      </c>
      <c r="G28" s="1">
        <v>112</v>
      </c>
      <c r="H28" s="1">
        <v>0.08</v>
      </c>
      <c r="I28" s="1">
        <v>9</v>
      </c>
      <c r="J28" t="s">
        <v>20</v>
      </c>
    </row>
    <row r="29" spans="1:10" x14ac:dyDescent="0.35">
      <c r="A29" t="s">
        <v>59</v>
      </c>
      <c r="B29" s="2">
        <v>43284</v>
      </c>
      <c r="C29" t="s">
        <v>15</v>
      </c>
      <c r="D29" t="s">
        <v>27</v>
      </c>
      <c r="E29" s="1">
        <v>13</v>
      </c>
      <c r="F29" s="1">
        <v>40</v>
      </c>
      <c r="G29" s="1">
        <v>520</v>
      </c>
      <c r="H29" s="1">
        <v>0.09</v>
      </c>
      <c r="I29" s="1">
        <v>47</v>
      </c>
      <c r="J29" t="s">
        <v>22</v>
      </c>
    </row>
    <row r="30" spans="1:10" x14ac:dyDescent="0.35">
      <c r="A30" t="s">
        <v>60</v>
      </c>
      <c r="B30" s="2">
        <v>43284</v>
      </c>
      <c r="C30" t="s">
        <v>19</v>
      </c>
      <c r="D30" t="s">
        <v>27</v>
      </c>
      <c r="E30" s="1">
        <v>8</v>
      </c>
      <c r="F30" s="1">
        <v>230</v>
      </c>
      <c r="G30" s="1">
        <v>1840</v>
      </c>
      <c r="H30" s="1">
        <v>0.05</v>
      </c>
      <c r="I30" s="1">
        <v>92</v>
      </c>
      <c r="J30" t="s">
        <v>25</v>
      </c>
    </row>
    <row r="31" spans="1:10" x14ac:dyDescent="0.35">
      <c r="A31" t="s">
        <v>61</v>
      </c>
      <c r="B31" s="2">
        <v>43284</v>
      </c>
      <c r="C31" t="s">
        <v>30</v>
      </c>
      <c r="D31" t="s">
        <v>27</v>
      </c>
      <c r="E31" s="1">
        <v>14</v>
      </c>
      <c r="F31" s="1">
        <v>16</v>
      </c>
      <c r="G31" s="1">
        <v>224</v>
      </c>
      <c r="H31" s="1">
        <v>0.12</v>
      </c>
      <c r="I31" s="1">
        <v>27</v>
      </c>
      <c r="J31" t="s">
        <v>28</v>
      </c>
    </row>
    <row r="32" spans="1:10" x14ac:dyDescent="0.35">
      <c r="A32" t="s">
        <v>62</v>
      </c>
      <c r="B32" s="2">
        <v>43284</v>
      </c>
      <c r="C32" t="s">
        <v>15</v>
      </c>
      <c r="D32" t="s">
        <v>31</v>
      </c>
      <c r="E32" s="1">
        <v>16</v>
      </c>
      <c r="F32" s="1">
        <v>40</v>
      </c>
      <c r="G32" s="1">
        <v>640</v>
      </c>
      <c r="H32" s="1">
        <v>0.09</v>
      </c>
      <c r="I32" s="1">
        <v>58</v>
      </c>
      <c r="J32" t="s">
        <v>32</v>
      </c>
    </row>
    <row r="33" spans="1:10" x14ac:dyDescent="0.35">
      <c r="A33" t="s">
        <v>63</v>
      </c>
      <c r="B33" s="2">
        <v>43285</v>
      </c>
      <c r="C33" t="s">
        <v>34</v>
      </c>
      <c r="D33" t="s">
        <v>16</v>
      </c>
      <c r="E33" s="1">
        <v>16</v>
      </c>
      <c r="F33" s="1">
        <v>150</v>
      </c>
      <c r="G33" s="1">
        <v>2400</v>
      </c>
      <c r="H33" s="1">
        <v>0.05</v>
      </c>
      <c r="I33" s="1">
        <v>120</v>
      </c>
      <c r="J33" t="s">
        <v>35</v>
      </c>
    </row>
    <row r="34" spans="1:10" x14ac:dyDescent="0.35">
      <c r="A34" t="s">
        <v>64</v>
      </c>
      <c r="B34" s="2">
        <v>43285</v>
      </c>
      <c r="C34" t="s">
        <v>15</v>
      </c>
      <c r="D34" t="s">
        <v>16</v>
      </c>
      <c r="E34" s="1">
        <v>12</v>
      </c>
      <c r="F34" s="1">
        <v>40</v>
      </c>
      <c r="G34" s="1">
        <v>480</v>
      </c>
      <c r="H34" s="1">
        <v>0.1</v>
      </c>
      <c r="I34" s="1">
        <v>48</v>
      </c>
      <c r="J34" t="s">
        <v>37</v>
      </c>
    </row>
    <row r="35" spans="1:10" x14ac:dyDescent="0.35">
      <c r="A35" t="s">
        <v>65</v>
      </c>
      <c r="B35" s="2">
        <v>43285</v>
      </c>
      <c r="C35" t="s">
        <v>11</v>
      </c>
      <c r="D35" t="s">
        <v>31</v>
      </c>
      <c r="E35" s="1">
        <v>17</v>
      </c>
      <c r="F35" s="1">
        <v>80</v>
      </c>
      <c r="G35" s="1">
        <v>1360</v>
      </c>
      <c r="H35" s="1">
        <v>7.0000000000000007E-2</v>
      </c>
      <c r="I35" s="1">
        <v>95</v>
      </c>
      <c r="J35" t="s">
        <v>39</v>
      </c>
    </row>
    <row r="36" spans="1:10" x14ac:dyDescent="0.35">
      <c r="A36" t="s">
        <v>66</v>
      </c>
      <c r="B36" s="2">
        <v>43285</v>
      </c>
      <c r="C36" t="s">
        <v>19</v>
      </c>
      <c r="D36" t="s">
        <v>27</v>
      </c>
      <c r="E36" s="1">
        <v>19</v>
      </c>
      <c r="F36" s="1">
        <v>230</v>
      </c>
      <c r="G36" s="1">
        <v>4370</v>
      </c>
      <c r="H36" s="1">
        <v>0.06</v>
      </c>
      <c r="I36" s="1">
        <v>262</v>
      </c>
      <c r="J36" t="s">
        <v>41</v>
      </c>
    </row>
    <row r="37" spans="1:10" x14ac:dyDescent="0.35">
      <c r="A37" t="s">
        <v>67</v>
      </c>
      <c r="B37" s="2">
        <v>43285</v>
      </c>
      <c r="C37" t="s">
        <v>19</v>
      </c>
      <c r="D37" t="s">
        <v>31</v>
      </c>
      <c r="E37" s="1">
        <v>22</v>
      </c>
      <c r="F37" s="1">
        <v>230</v>
      </c>
      <c r="G37" s="1">
        <v>5060</v>
      </c>
      <c r="H37" s="1">
        <v>0.1</v>
      </c>
      <c r="I37" s="1">
        <v>506</v>
      </c>
      <c r="J37" t="s">
        <v>43</v>
      </c>
    </row>
    <row r="38" spans="1:10" x14ac:dyDescent="0.35">
      <c r="A38" t="s">
        <v>68</v>
      </c>
      <c r="B38" s="2">
        <v>43285</v>
      </c>
      <c r="C38" t="s">
        <v>15</v>
      </c>
      <c r="D38" t="s">
        <v>27</v>
      </c>
      <c r="E38" s="1">
        <v>22</v>
      </c>
      <c r="F38" s="1">
        <v>40</v>
      </c>
      <c r="G38" s="1">
        <v>880</v>
      </c>
      <c r="H38" s="1">
        <v>0.01</v>
      </c>
      <c r="I38" s="1">
        <v>9</v>
      </c>
      <c r="J38" t="s">
        <v>13</v>
      </c>
    </row>
    <row r="39" spans="1:10" x14ac:dyDescent="0.35">
      <c r="A39" t="s">
        <v>69</v>
      </c>
      <c r="B39" s="2">
        <v>43285</v>
      </c>
      <c r="C39" t="s">
        <v>30</v>
      </c>
      <c r="D39" t="s">
        <v>27</v>
      </c>
      <c r="E39" s="1">
        <v>10</v>
      </c>
      <c r="F39" s="1">
        <v>16</v>
      </c>
      <c r="G39" s="1">
        <v>160</v>
      </c>
      <c r="H39" s="1">
        <v>0.04</v>
      </c>
      <c r="I39" s="1">
        <v>6</v>
      </c>
      <c r="J39" t="s">
        <v>17</v>
      </c>
    </row>
    <row r="40" spans="1:10" x14ac:dyDescent="0.35">
      <c r="A40" t="s">
        <v>70</v>
      </c>
      <c r="B40" s="2">
        <v>43285</v>
      </c>
      <c r="C40" t="s">
        <v>15</v>
      </c>
      <c r="D40" t="s">
        <v>16</v>
      </c>
      <c r="E40" s="1">
        <v>4</v>
      </c>
      <c r="F40" s="1">
        <v>40</v>
      </c>
      <c r="G40" s="1">
        <v>160</v>
      </c>
      <c r="H40" s="1">
        <v>0.12</v>
      </c>
      <c r="I40" s="1">
        <v>19</v>
      </c>
      <c r="J40" t="s">
        <v>20</v>
      </c>
    </row>
    <row r="41" spans="1:10" x14ac:dyDescent="0.35">
      <c r="A41" t="s">
        <v>71</v>
      </c>
      <c r="B41" s="2">
        <v>43285</v>
      </c>
      <c r="C41" t="s">
        <v>15</v>
      </c>
      <c r="D41" t="s">
        <v>31</v>
      </c>
      <c r="E41" s="1">
        <v>20</v>
      </c>
      <c r="F41" s="1">
        <v>40</v>
      </c>
      <c r="G41" s="1">
        <v>800</v>
      </c>
      <c r="H41" s="1">
        <v>0.05</v>
      </c>
      <c r="I41" s="1">
        <v>40</v>
      </c>
      <c r="J41" t="s">
        <v>22</v>
      </c>
    </row>
    <row r="42" spans="1:10" x14ac:dyDescent="0.35">
      <c r="A42" t="s">
        <v>72</v>
      </c>
      <c r="B42" s="2">
        <v>43286</v>
      </c>
      <c r="C42" t="s">
        <v>19</v>
      </c>
      <c r="D42" t="s">
        <v>27</v>
      </c>
      <c r="E42" s="1">
        <v>23</v>
      </c>
      <c r="F42" s="1">
        <v>230</v>
      </c>
      <c r="G42" s="1">
        <v>5290</v>
      </c>
      <c r="H42" s="1">
        <v>0.06</v>
      </c>
      <c r="I42" s="1">
        <v>317</v>
      </c>
      <c r="J42" t="s">
        <v>25</v>
      </c>
    </row>
    <row r="43" spans="1:10" x14ac:dyDescent="0.35">
      <c r="A43" t="s">
        <v>73</v>
      </c>
      <c r="B43" s="2">
        <v>43286</v>
      </c>
      <c r="C43" t="s">
        <v>15</v>
      </c>
      <c r="D43" t="s">
        <v>24</v>
      </c>
      <c r="E43" s="1">
        <v>20</v>
      </c>
      <c r="F43" s="1">
        <v>40</v>
      </c>
      <c r="G43" s="1">
        <v>800</v>
      </c>
      <c r="H43" s="1">
        <v>0.01</v>
      </c>
      <c r="I43" s="1">
        <v>8</v>
      </c>
      <c r="J43" t="s">
        <v>28</v>
      </c>
    </row>
    <row r="44" spans="1:10" x14ac:dyDescent="0.35">
      <c r="A44" t="s">
        <v>74</v>
      </c>
      <c r="B44" s="2">
        <v>43286</v>
      </c>
      <c r="C44" t="s">
        <v>34</v>
      </c>
      <c r="D44" t="s">
        <v>24</v>
      </c>
      <c r="E44" s="1">
        <v>20</v>
      </c>
      <c r="F44" s="1">
        <v>150</v>
      </c>
      <c r="G44" s="1">
        <v>3000</v>
      </c>
      <c r="H44" s="1">
        <v>0.04</v>
      </c>
      <c r="I44" s="1">
        <v>120</v>
      </c>
      <c r="J44" t="s">
        <v>32</v>
      </c>
    </row>
    <row r="45" spans="1:10" x14ac:dyDescent="0.35">
      <c r="A45" t="s">
        <v>75</v>
      </c>
      <c r="B45" s="2">
        <v>43286</v>
      </c>
      <c r="C45" t="s">
        <v>11</v>
      </c>
      <c r="D45" t="s">
        <v>16</v>
      </c>
      <c r="E45" s="1">
        <v>9</v>
      </c>
      <c r="F45" s="1">
        <v>80</v>
      </c>
      <c r="G45" s="1">
        <v>720</v>
      </c>
      <c r="H45" s="1">
        <v>0.03</v>
      </c>
      <c r="I45" s="1">
        <v>22</v>
      </c>
      <c r="J45" t="s">
        <v>35</v>
      </c>
    </row>
    <row r="46" spans="1:10" x14ac:dyDescent="0.35">
      <c r="A46" t="s">
        <v>76</v>
      </c>
      <c r="B46" s="2">
        <v>43286</v>
      </c>
      <c r="C46" t="s">
        <v>19</v>
      </c>
      <c r="D46" t="s">
        <v>12</v>
      </c>
      <c r="E46" s="1">
        <v>7</v>
      </c>
      <c r="F46" s="1">
        <v>230</v>
      </c>
      <c r="G46" s="1">
        <v>1610</v>
      </c>
      <c r="H46" s="1">
        <v>0.02</v>
      </c>
      <c r="I46" s="1">
        <v>32</v>
      </c>
      <c r="J46" t="s">
        <v>37</v>
      </c>
    </row>
    <row r="47" spans="1:10" x14ac:dyDescent="0.35">
      <c r="A47" t="s">
        <v>77</v>
      </c>
      <c r="B47" s="2">
        <v>43286</v>
      </c>
      <c r="C47" t="s">
        <v>19</v>
      </c>
      <c r="D47" t="s">
        <v>12</v>
      </c>
      <c r="E47" s="1">
        <v>3</v>
      </c>
      <c r="F47" s="1">
        <v>230</v>
      </c>
      <c r="G47" s="1">
        <v>690</v>
      </c>
      <c r="H47" s="1">
        <v>0.06</v>
      </c>
      <c r="I47" s="1">
        <v>41</v>
      </c>
      <c r="J47" t="s">
        <v>39</v>
      </c>
    </row>
    <row r="48" spans="1:10" x14ac:dyDescent="0.35">
      <c r="A48" t="s">
        <v>78</v>
      </c>
      <c r="B48" s="2">
        <v>43286</v>
      </c>
      <c r="C48" t="s">
        <v>34</v>
      </c>
      <c r="D48" t="s">
        <v>12</v>
      </c>
      <c r="E48" s="1">
        <v>13</v>
      </c>
      <c r="F48" s="1">
        <v>150</v>
      </c>
      <c r="G48" s="1">
        <v>1950</v>
      </c>
      <c r="H48" s="1">
        <v>0.05</v>
      </c>
      <c r="I48" s="1">
        <v>98</v>
      </c>
      <c r="J48" t="s">
        <v>41</v>
      </c>
    </row>
    <row r="49" spans="1:10" x14ac:dyDescent="0.35">
      <c r="A49" t="s">
        <v>79</v>
      </c>
      <c r="B49" s="2">
        <v>43286</v>
      </c>
      <c r="C49" t="s">
        <v>11</v>
      </c>
      <c r="D49" t="s">
        <v>12</v>
      </c>
      <c r="E49" s="1">
        <v>17</v>
      </c>
      <c r="F49" s="1">
        <v>80</v>
      </c>
      <c r="G49" s="1">
        <v>1360</v>
      </c>
      <c r="H49" s="1">
        <v>0.09</v>
      </c>
      <c r="I49" s="1">
        <v>122</v>
      </c>
      <c r="J49" t="s">
        <v>43</v>
      </c>
    </row>
    <row r="50" spans="1:10" x14ac:dyDescent="0.35">
      <c r="A50" t="s">
        <v>80</v>
      </c>
      <c r="B50" s="2">
        <v>43287</v>
      </c>
      <c r="C50" t="s">
        <v>15</v>
      </c>
      <c r="D50" t="s">
        <v>27</v>
      </c>
      <c r="E50" s="1">
        <v>18</v>
      </c>
      <c r="F50" s="1">
        <v>40</v>
      </c>
      <c r="G50" s="1">
        <v>720</v>
      </c>
      <c r="H50" s="1">
        <v>0.06</v>
      </c>
      <c r="I50" s="1">
        <v>43</v>
      </c>
      <c r="J50" t="s">
        <v>13</v>
      </c>
    </row>
    <row r="51" spans="1:10" x14ac:dyDescent="0.35">
      <c r="A51" t="s">
        <v>81</v>
      </c>
      <c r="B51" s="2">
        <v>43287</v>
      </c>
      <c r="C51" t="s">
        <v>30</v>
      </c>
      <c r="D51" t="s">
        <v>24</v>
      </c>
      <c r="E51" s="1">
        <v>23</v>
      </c>
      <c r="F51" s="1">
        <v>16</v>
      </c>
      <c r="G51" s="1">
        <v>368</v>
      </c>
      <c r="H51" s="1">
        <v>0.11</v>
      </c>
      <c r="I51" s="1">
        <v>40</v>
      </c>
      <c r="J51" t="s">
        <v>17</v>
      </c>
    </row>
    <row r="52" spans="1:10" x14ac:dyDescent="0.35">
      <c r="A52" t="s">
        <v>82</v>
      </c>
      <c r="B52" s="2">
        <v>43287</v>
      </c>
      <c r="C52" t="s">
        <v>19</v>
      </c>
      <c r="D52" t="s">
        <v>24</v>
      </c>
      <c r="E52" s="1">
        <v>20</v>
      </c>
      <c r="F52" s="1">
        <v>230</v>
      </c>
      <c r="G52" s="1">
        <v>4600</v>
      </c>
      <c r="H52" s="1">
        <v>0.06</v>
      </c>
      <c r="I52" s="1">
        <v>276</v>
      </c>
      <c r="J52" t="s">
        <v>20</v>
      </c>
    </row>
    <row r="53" spans="1:10" x14ac:dyDescent="0.35">
      <c r="A53" t="s">
        <v>83</v>
      </c>
      <c r="B53" s="2">
        <v>43287</v>
      </c>
      <c r="C53" t="s">
        <v>30</v>
      </c>
      <c r="D53" t="s">
        <v>12</v>
      </c>
      <c r="E53" s="1">
        <v>11</v>
      </c>
      <c r="F53" s="1">
        <v>16</v>
      </c>
      <c r="G53" s="1">
        <v>176</v>
      </c>
      <c r="H53" s="1">
        <v>0.09</v>
      </c>
      <c r="I53" s="1">
        <v>16</v>
      </c>
      <c r="J53" t="s">
        <v>22</v>
      </c>
    </row>
    <row r="54" spans="1:10" x14ac:dyDescent="0.35">
      <c r="A54" t="s">
        <v>84</v>
      </c>
      <c r="B54" s="2">
        <v>43287</v>
      </c>
      <c r="C54" t="s">
        <v>34</v>
      </c>
      <c r="D54" t="s">
        <v>31</v>
      </c>
      <c r="E54" s="1">
        <v>15</v>
      </c>
      <c r="F54" s="1">
        <v>150</v>
      </c>
      <c r="G54" s="1">
        <v>2250</v>
      </c>
      <c r="H54" s="1">
        <v>7.0000000000000007E-2</v>
      </c>
      <c r="I54" s="1">
        <v>158</v>
      </c>
      <c r="J54" t="s">
        <v>25</v>
      </c>
    </row>
    <row r="55" spans="1:10" x14ac:dyDescent="0.35">
      <c r="A55" t="s">
        <v>85</v>
      </c>
      <c r="B55" s="2">
        <v>43287</v>
      </c>
      <c r="C55" t="s">
        <v>19</v>
      </c>
      <c r="D55" t="s">
        <v>16</v>
      </c>
      <c r="E55" s="1">
        <v>6</v>
      </c>
      <c r="F55" s="1">
        <v>230</v>
      </c>
      <c r="G55" s="1">
        <v>1380</v>
      </c>
      <c r="H55" s="1">
        <v>0.1</v>
      </c>
      <c r="I55" s="1">
        <v>138</v>
      </c>
      <c r="J55" t="s">
        <v>28</v>
      </c>
    </row>
    <row r="56" spans="1:10" x14ac:dyDescent="0.35">
      <c r="A56" t="s">
        <v>86</v>
      </c>
      <c r="B56" s="2">
        <v>43287</v>
      </c>
      <c r="C56" t="s">
        <v>15</v>
      </c>
      <c r="D56" t="s">
        <v>12</v>
      </c>
      <c r="E56" s="1">
        <v>22</v>
      </c>
      <c r="F56" s="1">
        <v>40</v>
      </c>
      <c r="G56" s="1">
        <v>880</v>
      </c>
      <c r="H56" s="1">
        <v>0.02</v>
      </c>
      <c r="I56" s="1">
        <v>18</v>
      </c>
      <c r="J56" t="s">
        <v>32</v>
      </c>
    </row>
    <row r="57" spans="1:10" x14ac:dyDescent="0.35">
      <c r="A57" t="s">
        <v>87</v>
      </c>
      <c r="B57" s="2">
        <v>43287</v>
      </c>
      <c r="C57" t="s">
        <v>15</v>
      </c>
      <c r="D57" t="s">
        <v>12</v>
      </c>
      <c r="E57" s="1">
        <v>15</v>
      </c>
      <c r="F57" s="1">
        <v>40</v>
      </c>
      <c r="G57" s="1">
        <v>600</v>
      </c>
      <c r="H57" s="1">
        <v>0.06</v>
      </c>
      <c r="I57" s="1">
        <v>36</v>
      </c>
      <c r="J57" t="s">
        <v>35</v>
      </c>
    </row>
    <row r="58" spans="1:10" x14ac:dyDescent="0.35">
      <c r="A58" t="s">
        <v>88</v>
      </c>
      <c r="B58" s="2">
        <v>43287</v>
      </c>
      <c r="C58" t="s">
        <v>30</v>
      </c>
      <c r="D58" t="s">
        <v>24</v>
      </c>
      <c r="E58" s="1">
        <v>12</v>
      </c>
      <c r="F58" s="1">
        <v>16</v>
      </c>
      <c r="G58" s="1">
        <v>192</v>
      </c>
      <c r="H58" s="1">
        <v>0.03</v>
      </c>
      <c r="I58" s="1">
        <v>6</v>
      </c>
      <c r="J58" t="s">
        <v>37</v>
      </c>
    </row>
    <row r="59" spans="1:10" x14ac:dyDescent="0.35">
      <c r="A59" t="s">
        <v>89</v>
      </c>
      <c r="B59" s="2">
        <v>43287</v>
      </c>
      <c r="C59" t="s">
        <v>30</v>
      </c>
      <c r="D59" t="s">
        <v>31</v>
      </c>
      <c r="E59" s="1">
        <v>22</v>
      </c>
      <c r="F59" s="1">
        <v>16</v>
      </c>
      <c r="G59" s="1">
        <v>352</v>
      </c>
      <c r="H59" s="1">
        <v>0.12</v>
      </c>
      <c r="I59" s="1">
        <v>42</v>
      </c>
      <c r="J59" t="s">
        <v>39</v>
      </c>
    </row>
    <row r="60" spans="1:10" x14ac:dyDescent="0.35">
      <c r="A60" t="s">
        <v>90</v>
      </c>
      <c r="B60" s="2">
        <v>43287</v>
      </c>
      <c r="C60" t="s">
        <v>11</v>
      </c>
      <c r="D60" t="s">
        <v>12</v>
      </c>
      <c r="E60" s="1">
        <v>21</v>
      </c>
      <c r="F60" s="1">
        <v>80</v>
      </c>
      <c r="G60" s="1">
        <v>1680</v>
      </c>
      <c r="H60" s="1">
        <v>0.04</v>
      </c>
      <c r="I60" s="1">
        <v>67</v>
      </c>
      <c r="J60" t="s">
        <v>41</v>
      </c>
    </row>
    <row r="61" spans="1:10" x14ac:dyDescent="0.35">
      <c r="A61" t="s">
        <v>91</v>
      </c>
      <c r="B61" s="2">
        <v>43287</v>
      </c>
      <c r="C61" t="s">
        <v>34</v>
      </c>
      <c r="D61" t="s">
        <v>12</v>
      </c>
      <c r="E61" s="1">
        <v>22</v>
      </c>
      <c r="F61" s="1">
        <v>150</v>
      </c>
      <c r="G61" s="1">
        <v>3300</v>
      </c>
      <c r="H61" s="1">
        <v>0.05</v>
      </c>
      <c r="I61" s="1">
        <v>165</v>
      </c>
      <c r="J61" t="s">
        <v>43</v>
      </c>
    </row>
    <row r="62" spans="1:10" x14ac:dyDescent="0.35">
      <c r="A62" t="s">
        <v>92</v>
      </c>
      <c r="B62" s="2">
        <v>43287</v>
      </c>
      <c r="C62" t="s">
        <v>11</v>
      </c>
      <c r="D62" t="s">
        <v>31</v>
      </c>
      <c r="E62" s="1">
        <v>21</v>
      </c>
      <c r="F62" s="1">
        <v>80</v>
      </c>
      <c r="G62" s="1">
        <v>1680</v>
      </c>
      <c r="H62" s="1">
        <v>0.09</v>
      </c>
      <c r="I62" s="1">
        <v>151</v>
      </c>
      <c r="J62" t="s">
        <v>13</v>
      </c>
    </row>
    <row r="63" spans="1:10" x14ac:dyDescent="0.35">
      <c r="A63" t="s">
        <v>93</v>
      </c>
      <c r="B63" s="2">
        <v>43287</v>
      </c>
      <c r="C63" t="s">
        <v>11</v>
      </c>
      <c r="D63" t="s">
        <v>27</v>
      </c>
      <c r="E63" s="1">
        <v>10</v>
      </c>
      <c r="F63" s="1">
        <v>80</v>
      </c>
      <c r="G63" s="1">
        <v>800</v>
      </c>
      <c r="H63" s="1">
        <v>0.1</v>
      </c>
      <c r="I63" s="1">
        <v>80</v>
      </c>
      <c r="J63" t="s">
        <v>17</v>
      </c>
    </row>
    <row r="64" spans="1:10" x14ac:dyDescent="0.35">
      <c r="A64" t="s">
        <v>94</v>
      </c>
      <c r="B64" s="2">
        <v>43287</v>
      </c>
      <c r="C64" t="s">
        <v>19</v>
      </c>
      <c r="D64" t="s">
        <v>16</v>
      </c>
      <c r="E64" s="1">
        <v>15</v>
      </c>
      <c r="F64" s="1">
        <v>230</v>
      </c>
      <c r="G64" s="1">
        <v>3450</v>
      </c>
      <c r="H64" s="1">
        <v>0.09</v>
      </c>
      <c r="I64" s="1">
        <v>310</v>
      </c>
      <c r="J64" t="s">
        <v>20</v>
      </c>
    </row>
    <row r="65" spans="1:10" x14ac:dyDescent="0.35">
      <c r="A65" t="s">
        <v>95</v>
      </c>
      <c r="B65" s="2">
        <v>43288</v>
      </c>
      <c r="C65" t="s">
        <v>11</v>
      </c>
      <c r="D65" t="s">
        <v>12</v>
      </c>
      <c r="E65" s="1">
        <v>14</v>
      </c>
      <c r="F65" s="1">
        <v>80</v>
      </c>
      <c r="G65" s="1">
        <v>1120</v>
      </c>
      <c r="H65" s="1">
        <v>0.08</v>
      </c>
      <c r="I65" s="1">
        <v>90</v>
      </c>
      <c r="J65" t="s">
        <v>22</v>
      </c>
    </row>
    <row r="66" spans="1:10" x14ac:dyDescent="0.35">
      <c r="A66" t="s">
        <v>96</v>
      </c>
      <c r="B66" s="2">
        <v>43288</v>
      </c>
      <c r="C66" t="s">
        <v>11</v>
      </c>
      <c r="D66" t="s">
        <v>31</v>
      </c>
      <c r="E66" s="1">
        <v>10</v>
      </c>
      <c r="F66" s="1">
        <v>80</v>
      </c>
      <c r="G66" s="1">
        <v>800</v>
      </c>
      <c r="H66" s="1">
        <v>0.06</v>
      </c>
      <c r="I66" s="1">
        <v>48</v>
      </c>
      <c r="J66" t="s">
        <v>25</v>
      </c>
    </row>
    <row r="67" spans="1:10" x14ac:dyDescent="0.35">
      <c r="A67" t="s">
        <v>97</v>
      </c>
      <c r="B67" s="2">
        <v>43288</v>
      </c>
      <c r="C67" t="s">
        <v>34</v>
      </c>
      <c r="D67" t="s">
        <v>12</v>
      </c>
      <c r="E67" s="1">
        <v>5</v>
      </c>
      <c r="F67" s="1">
        <v>150</v>
      </c>
      <c r="G67" s="1">
        <v>750</v>
      </c>
      <c r="H67" s="1">
        <v>0.11</v>
      </c>
      <c r="I67" s="1">
        <v>82</v>
      </c>
      <c r="J67" t="s">
        <v>28</v>
      </c>
    </row>
    <row r="68" spans="1:10" x14ac:dyDescent="0.35">
      <c r="A68" t="s">
        <v>98</v>
      </c>
      <c r="B68" s="2">
        <v>43288</v>
      </c>
      <c r="C68" t="s">
        <v>19</v>
      </c>
      <c r="D68" t="s">
        <v>27</v>
      </c>
      <c r="E68" s="1">
        <v>3</v>
      </c>
      <c r="F68" s="1">
        <v>230</v>
      </c>
      <c r="G68" s="1">
        <v>690</v>
      </c>
      <c r="H68" s="1">
        <v>0.01</v>
      </c>
      <c r="I68" s="1">
        <v>7</v>
      </c>
      <c r="J68" t="s">
        <v>32</v>
      </c>
    </row>
    <row r="69" spans="1:10" x14ac:dyDescent="0.35">
      <c r="A69" t="s">
        <v>99</v>
      </c>
      <c r="B69" s="2">
        <v>43288</v>
      </c>
      <c r="C69" t="s">
        <v>15</v>
      </c>
      <c r="D69" t="s">
        <v>27</v>
      </c>
      <c r="E69" s="1">
        <v>4</v>
      </c>
      <c r="F69" s="1">
        <v>40</v>
      </c>
      <c r="G69" s="1">
        <v>160</v>
      </c>
      <c r="H69" s="1">
        <v>0.05</v>
      </c>
      <c r="I69" s="1">
        <v>8</v>
      </c>
      <c r="J69" t="s">
        <v>35</v>
      </c>
    </row>
    <row r="70" spans="1:10" x14ac:dyDescent="0.35">
      <c r="A70" t="s">
        <v>100</v>
      </c>
      <c r="B70" s="2">
        <v>43288</v>
      </c>
      <c r="C70" t="s">
        <v>34</v>
      </c>
      <c r="D70" t="s">
        <v>24</v>
      </c>
      <c r="E70" s="1">
        <v>18</v>
      </c>
      <c r="F70" s="1">
        <v>150</v>
      </c>
      <c r="G70" s="1">
        <v>2700</v>
      </c>
      <c r="H70" s="1">
        <v>0.06</v>
      </c>
      <c r="I70" s="1">
        <v>162</v>
      </c>
      <c r="J70" t="s">
        <v>37</v>
      </c>
    </row>
    <row r="71" spans="1:10" x14ac:dyDescent="0.35">
      <c r="A71" t="s">
        <v>101</v>
      </c>
      <c r="B71" s="2">
        <v>43288</v>
      </c>
      <c r="C71" t="s">
        <v>15</v>
      </c>
      <c r="D71" t="s">
        <v>31</v>
      </c>
      <c r="E71" s="1">
        <v>20</v>
      </c>
      <c r="F71" s="1">
        <v>40</v>
      </c>
      <c r="G71" s="1">
        <v>800</v>
      </c>
      <c r="H71" s="1">
        <v>0.1</v>
      </c>
      <c r="I71" s="1">
        <v>80</v>
      </c>
      <c r="J71" t="s">
        <v>39</v>
      </c>
    </row>
    <row r="72" spans="1:10" x14ac:dyDescent="0.35">
      <c r="A72" t="s">
        <v>102</v>
      </c>
      <c r="B72" s="2">
        <v>43288</v>
      </c>
      <c r="C72" t="s">
        <v>11</v>
      </c>
      <c r="D72" t="s">
        <v>27</v>
      </c>
      <c r="E72" s="1">
        <v>16</v>
      </c>
      <c r="F72" s="1">
        <v>80</v>
      </c>
      <c r="G72" s="1">
        <v>1280</v>
      </c>
      <c r="H72" s="1">
        <v>0.05</v>
      </c>
      <c r="I72" s="1">
        <v>64</v>
      </c>
      <c r="J72" t="s">
        <v>13</v>
      </c>
    </row>
    <row r="73" spans="1:10" x14ac:dyDescent="0.35">
      <c r="A73" t="s">
        <v>103</v>
      </c>
      <c r="B73" s="2">
        <v>43288</v>
      </c>
      <c r="C73" t="s">
        <v>15</v>
      </c>
      <c r="D73" t="s">
        <v>24</v>
      </c>
      <c r="E73" s="1">
        <v>4</v>
      </c>
      <c r="F73" s="1">
        <v>40</v>
      </c>
      <c r="G73" s="1">
        <v>160</v>
      </c>
      <c r="H73" s="1">
        <v>0.06</v>
      </c>
      <c r="I73" s="1">
        <v>10</v>
      </c>
      <c r="J73" t="s">
        <v>17</v>
      </c>
    </row>
    <row r="74" spans="1:10" x14ac:dyDescent="0.35">
      <c r="A74" t="s">
        <v>104</v>
      </c>
      <c r="B74" s="2">
        <v>43288</v>
      </c>
      <c r="C74" t="s">
        <v>15</v>
      </c>
      <c r="D74" t="s">
        <v>16</v>
      </c>
      <c r="E74" s="1">
        <v>4</v>
      </c>
      <c r="F74" s="1">
        <v>40</v>
      </c>
      <c r="G74" s="1">
        <v>160</v>
      </c>
      <c r="H74" s="1">
        <v>0.03</v>
      </c>
      <c r="I74" s="1">
        <v>5</v>
      </c>
      <c r="J74" t="s">
        <v>20</v>
      </c>
    </row>
    <row r="75" spans="1:10" x14ac:dyDescent="0.35">
      <c r="A75" t="s">
        <v>105</v>
      </c>
      <c r="B75" s="2">
        <v>43288</v>
      </c>
      <c r="C75" t="s">
        <v>15</v>
      </c>
      <c r="D75" t="s">
        <v>16</v>
      </c>
      <c r="E75" s="1">
        <v>15</v>
      </c>
      <c r="F75" s="1">
        <v>40</v>
      </c>
      <c r="G75" s="1">
        <v>600</v>
      </c>
      <c r="H75" s="1">
        <v>0.02</v>
      </c>
      <c r="I75" s="1">
        <v>12</v>
      </c>
      <c r="J75" t="s">
        <v>22</v>
      </c>
    </row>
    <row r="76" spans="1:10" x14ac:dyDescent="0.35">
      <c r="A76" t="s">
        <v>106</v>
      </c>
      <c r="B76" s="2">
        <v>43288</v>
      </c>
      <c r="C76" t="s">
        <v>15</v>
      </c>
      <c r="D76" t="s">
        <v>24</v>
      </c>
      <c r="E76" s="1">
        <v>20</v>
      </c>
      <c r="F76" s="1">
        <v>40</v>
      </c>
      <c r="G76" s="1">
        <v>800</v>
      </c>
      <c r="H76" s="1">
        <v>0.01</v>
      </c>
      <c r="I76" s="1">
        <v>8</v>
      </c>
      <c r="J76" t="s">
        <v>25</v>
      </c>
    </row>
    <row r="77" spans="1:10" x14ac:dyDescent="0.35">
      <c r="A77" t="s">
        <v>107</v>
      </c>
      <c r="B77" s="2">
        <v>43288</v>
      </c>
      <c r="C77" t="s">
        <v>30</v>
      </c>
      <c r="D77" t="s">
        <v>31</v>
      </c>
      <c r="E77" s="1">
        <v>14</v>
      </c>
      <c r="F77" s="1">
        <v>16</v>
      </c>
      <c r="G77" s="1">
        <v>224</v>
      </c>
      <c r="H77" s="1">
        <v>0.06</v>
      </c>
      <c r="I77" s="1">
        <v>13</v>
      </c>
      <c r="J77" t="s">
        <v>28</v>
      </c>
    </row>
    <row r="78" spans="1:10" x14ac:dyDescent="0.35">
      <c r="A78" t="s">
        <v>108</v>
      </c>
      <c r="B78" s="2">
        <v>43289</v>
      </c>
      <c r="C78" t="s">
        <v>34</v>
      </c>
      <c r="D78" t="s">
        <v>24</v>
      </c>
      <c r="E78" s="1">
        <v>11</v>
      </c>
      <c r="F78" s="1">
        <v>150</v>
      </c>
      <c r="G78" s="1">
        <v>1650</v>
      </c>
      <c r="H78" s="1">
        <v>0.11</v>
      </c>
      <c r="I78" s="1">
        <v>182</v>
      </c>
      <c r="J78" t="s">
        <v>32</v>
      </c>
    </row>
    <row r="79" spans="1:10" x14ac:dyDescent="0.35">
      <c r="A79" t="s">
        <v>109</v>
      </c>
      <c r="B79" s="2">
        <v>43289</v>
      </c>
      <c r="C79" t="s">
        <v>34</v>
      </c>
      <c r="D79" t="s">
        <v>24</v>
      </c>
      <c r="E79" s="1">
        <v>9</v>
      </c>
      <c r="F79" s="1">
        <v>150</v>
      </c>
      <c r="G79" s="1">
        <v>1350</v>
      </c>
      <c r="H79" s="1">
        <v>0.02</v>
      </c>
      <c r="I79" s="1">
        <v>27</v>
      </c>
      <c r="J79" t="s">
        <v>35</v>
      </c>
    </row>
    <row r="80" spans="1:10" x14ac:dyDescent="0.35">
      <c r="A80" t="s">
        <v>110</v>
      </c>
      <c r="B80" s="2">
        <v>43289</v>
      </c>
      <c r="C80" t="s">
        <v>30</v>
      </c>
      <c r="D80" t="s">
        <v>31</v>
      </c>
      <c r="E80" s="1">
        <v>11</v>
      </c>
      <c r="F80" s="1">
        <v>16</v>
      </c>
      <c r="G80" s="1">
        <v>176</v>
      </c>
      <c r="H80" s="1">
        <v>0.12</v>
      </c>
      <c r="I80" s="1">
        <v>21</v>
      </c>
      <c r="J80" t="s">
        <v>37</v>
      </c>
    </row>
    <row r="81" spans="1:10" x14ac:dyDescent="0.35">
      <c r="A81" t="s">
        <v>111</v>
      </c>
      <c r="B81" s="2">
        <v>43289</v>
      </c>
      <c r="C81" t="s">
        <v>15</v>
      </c>
      <c r="D81" t="s">
        <v>24</v>
      </c>
      <c r="E81" s="1">
        <v>13</v>
      </c>
      <c r="F81" s="1">
        <v>40</v>
      </c>
      <c r="G81" s="1">
        <v>520</v>
      </c>
      <c r="H81" s="1">
        <v>0.02</v>
      </c>
      <c r="I81" s="1">
        <v>10</v>
      </c>
      <c r="J81" t="s">
        <v>39</v>
      </c>
    </row>
    <row r="82" spans="1:10" x14ac:dyDescent="0.35">
      <c r="A82" t="s">
        <v>112</v>
      </c>
      <c r="B82" s="2">
        <v>43289</v>
      </c>
      <c r="C82" t="s">
        <v>15</v>
      </c>
      <c r="D82" t="s">
        <v>24</v>
      </c>
      <c r="E82" s="1">
        <v>4</v>
      </c>
      <c r="F82" s="1">
        <v>40</v>
      </c>
      <c r="G82" s="1">
        <v>160</v>
      </c>
      <c r="H82" s="1">
        <v>0.1</v>
      </c>
      <c r="I82" s="1">
        <v>16</v>
      </c>
      <c r="J82" t="s">
        <v>41</v>
      </c>
    </row>
    <row r="83" spans="1:10" x14ac:dyDescent="0.35">
      <c r="A83" t="s">
        <v>113</v>
      </c>
      <c r="B83" s="2">
        <v>43289</v>
      </c>
      <c r="C83" t="s">
        <v>19</v>
      </c>
      <c r="D83" t="s">
        <v>12</v>
      </c>
      <c r="E83" s="1">
        <v>3</v>
      </c>
      <c r="F83" s="1">
        <v>230</v>
      </c>
      <c r="G83" s="1">
        <v>690</v>
      </c>
      <c r="H83" s="1">
        <v>0.11</v>
      </c>
      <c r="I83" s="1">
        <v>76</v>
      </c>
      <c r="J83" t="s">
        <v>43</v>
      </c>
    </row>
    <row r="84" spans="1:10" x14ac:dyDescent="0.35">
      <c r="A84" t="s">
        <v>114</v>
      </c>
      <c r="B84" s="2">
        <v>43289</v>
      </c>
      <c r="C84" t="s">
        <v>11</v>
      </c>
      <c r="D84" t="s">
        <v>24</v>
      </c>
      <c r="E84" s="1">
        <v>6</v>
      </c>
      <c r="F84" s="1">
        <v>80</v>
      </c>
      <c r="G84" s="1">
        <v>480</v>
      </c>
      <c r="H84" s="1">
        <v>0.09</v>
      </c>
      <c r="I84" s="1">
        <v>43</v>
      </c>
      <c r="J84" t="s">
        <v>13</v>
      </c>
    </row>
    <row r="85" spans="1:10" x14ac:dyDescent="0.35">
      <c r="A85" t="s">
        <v>115</v>
      </c>
      <c r="B85" s="2">
        <v>43289</v>
      </c>
      <c r="C85" t="s">
        <v>34</v>
      </c>
      <c r="D85" t="s">
        <v>12</v>
      </c>
      <c r="E85" s="1">
        <v>9</v>
      </c>
      <c r="F85" s="1">
        <v>150</v>
      </c>
      <c r="G85" s="1">
        <v>1350</v>
      </c>
      <c r="H85" s="1">
        <v>0.1</v>
      </c>
      <c r="I85" s="1">
        <v>135</v>
      </c>
      <c r="J85" t="s">
        <v>17</v>
      </c>
    </row>
    <row r="86" spans="1:10" x14ac:dyDescent="0.35">
      <c r="A86" t="s">
        <v>116</v>
      </c>
      <c r="B86" s="2">
        <v>43289</v>
      </c>
      <c r="C86" t="s">
        <v>11</v>
      </c>
      <c r="D86" t="s">
        <v>16</v>
      </c>
      <c r="E86" s="1">
        <v>14</v>
      </c>
      <c r="F86" s="1">
        <v>80</v>
      </c>
      <c r="G86" s="1">
        <v>1120</v>
      </c>
      <c r="H86" s="1">
        <v>0.11</v>
      </c>
      <c r="I86" s="1">
        <v>123</v>
      </c>
      <c r="J86" t="s">
        <v>20</v>
      </c>
    </row>
    <row r="87" spans="1:10" x14ac:dyDescent="0.35">
      <c r="A87" t="s">
        <v>117</v>
      </c>
      <c r="B87" s="2">
        <v>43289</v>
      </c>
      <c r="C87" t="s">
        <v>11</v>
      </c>
      <c r="D87" t="s">
        <v>12</v>
      </c>
      <c r="E87" s="1">
        <v>18</v>
      </c>
      <c r="F87" s="1">
        <v>80</v>
      </c>
      <c r="G87" s="1">
        <v>1440</v>
      </c>
      <c r="H87" s="1">
        <v>0.02</v>
      </c>
      <c r="I87" s="1">
        <v>29</v>
      </c>
      <c r="J87" t="s">
        <v>22</v>
      </c>
    </row>
    <row r="88" spans="1:10" x14ac:dyDescent="0.35">
      <c r="A88" t="s">
        <v>118</v>
      </c>
      <c r="B88" s="2">
        <v>43289</v>
      </c>
      <c r="C88" t="s">
        <v>15</v>
      </c>
      <c r="D88" t="s">
        <v>12</v>
      </c>
      <c r="E88" s="1">
        <v>20</v>
      </c>
      <c r="F88" s="1">
        <v>40</v>
      </c>
      <c r="G88" s="1">
        <v>800</v>
      </c>
      <c r="H88" s="1">
        <v>0.04</v>
      </c>
      <c r="I88" s="1">
        <v>32</v>
      </c>
      <c r="J88" t="s">
        <v>25</v>
      </c>
    </row>
    <row r="89" spans="1:10" x14ac:dyDescent="0.35">
      <c r="A89" t="s">
        <v>119</v>
      </c>
      <c r="B89" s="2">
        <v>43290</v>
      </c>
      <c r="C89" t="s">
        <v>30</v>
      </c>
      <c r="D89" t="s">
        <v>24</v>
      </c>
      <c r="E89" s="1">
        <v>8</v>
      </c>
      <c r="F89" s="1">
        <v>16</v>
      </c>
      <c r="G89" s="1">
        <v>128</v>
      </c>
      <c r="H89" s="1">
        <v>0.03</v>
      </c>
      <c r="I89" s="1">
        <v>4</v>
      </c>
      <c r="J89" t="s">
        <v>28</v>
      </c>
    </row>
    <row r="90" spans="1:10" x14ac:dyDescent="0.35">
      <c r="A90" t="s">
        <v>120</v>
      </c>
      <c r="B90" s="2">
        <v>43290</v>
      </c>
      <c r="C90" t="s">
        <v>11</v>
      </c>
      <c r="D90" t="s">
        <v>16</v>
      </c>
      <c r="E90" s="1">
        <v>14</v>
      </c>
      <c r="F90" s="1">
        <v>80</v>
      </c>
      <c r="G90" s="1">
        <v>1120</v>
      </c>
      <c r="H90" s="1">
        <v>0.06</v>
      </c>
      <c r="I90" s="1">
        <v>67</v>
      </c>
      <c r="J90" t="s">
        <v>32</v>
      </c>
    </row>
    <row r="91" spans="1:10" x14ac:dyDescent="0.35">
      <c r="A91" t="s">
        <v>121</v>
      </c>
      <c r="B91" s="2">
        <v>43290</v>
      </c>
      <c r="C91" t="s">
        <v>34</v>
      </c>
      <c r="D91" t="s">
        <v>12</v>
      </c>
      <c r="E91" s="1">
        <v>20</v>
      </c>
      <c r="F91" s="1">
        <v>150</v>
      </c>
      <c r="G91" s="1">
        <v>3000</v>
      </c>
      <c r="H91" s="1">
        <v>0.01</v>
      </c>
      <c r="I91" s="1">
        <v>30</v>
      </c>
      <c r="J91" t="s">
        <v>35</v>
      </c>
    </row>
    <row r="92" spans="1:10" x14ac:dyDescent="0.35">
      <c r="A92" t="s">
        <v>122</v>
      </c>
      <c r="B92" s="2">
        <v>43290</v>
      </c>
      <c r="C92" t="s">
        <v>15</v>
      </c>
      <c r="D92" t="s">
        <v>27</v>
      </c>
      <c r="E92" s="1">
        <v>15</v>
      </c>
      <c r="F92" s="1">
        <v>40</v>
      </c>
      <c r="G92" s="1">
        <v>600</v>
      </c>
      <c r="H92" s="1">
        <v>0.03</v>
      </c>
      <c r="I92" s="1">
        <v>18</v>
      </c>
      <c r="J92" t="s">
        <v>37</v>
      </c>
    </row>
    <row r="93" spans="1:10" x14ac:dyDescent="0.35">
      <c r="A93" t="s">
        <v>123</v>
      </c>
      <c r="B93" s="2">
        <v>43290</v>
      </c>
      <c r="C93" t="s">
        <v>15</v>
      </c>
      <c r="D93" t="s">
        <v>16</v>
      </c>
      <c r="E93" s="1">
        <v>18</v>
      </c>
      <c r="F93" s="1">
        <v>40</v>
      </c>
      <c r="G93" s="1">
        <v>720</v>
      </c>
      <c r="H93" s="1">
        <v>0.08</v>
      </c>
      <c r="I93" s="1">
        <v>58</v>
      </c>
      <c r="J93" t="s">
        <v>39</v>
      </c>
    </row>
    <row r="94" spans="1:10" x14ac:dyDescent="0.35">
      <c r="A94" t="s">
        <v>124</v>
      </c>
      <c r="B94" s="2">
        <v>43290</v>
      </c>
      <c r="C94" t="s">
        <v>15</v>
      </c>
      <c r="D94" t="s">
        <v>31</v>
      </c>
      <c r="E94" s="1">
        <v>11</v>
      </c>
      <c r="F94" s="1">
        <v>40</v>
      </c>
      <c r="G94" s="1">
        <v>440</v>
      </c>
      <c r="H94" s="1">
        <v>0.05</v>
      </c>
      <c r="I94" s="1">
        <v>22</v>
      </c>
      <c r="J94" t="s">
        <v>41</v>
      </c>
    </row>
    <row r="95" spans="1:10" x14ac:dyDescent="0.35">
      <c r="A95" t="s">
        <v>125</v>
      </c>
      <c r="B95" s="2">
        <v>43291</v>
      </c>
      <c r="C95" t="s">
        <v>15</v>
      </c>
      <c r="D95" t="s">
        <v>31</v>
      </c>
      <c r="E95" s="1">
        <v>23</v>
      </c>
      <c r="F95" s="1">
        <v>40</v>
      </c>
      <c r="G95" s="1">
        <v>920</v>
      </c>
      <c r="H95" s="1">
        <v>0.04</v>
      </c>
      <c r="I95" s="1">
        <v>37</v>
      </c>
      <c r="J95" t="s">
        <v>43</v>
      </c>
    </row>
    <row r="96" spans="1:10" x14ac:dyDescent="0.35">
      <c r="A96" t="s">
        <v>126</v>
      </c>
      <c r="B96" s="2">
        <v>43291</v>
      </c>
      <c r="C96" t="s">
        <v>30</v>
      </c>
      <c r="D96" t="s">
        <v>31</v>
      </c>
      <c r="E96" s="1">
        <v>17</v>
      </c>
      <c r="F96" s="1">
        <v>16</v>
      </c>
      <c r="G96" s="1">
        <v>272</v>
      </c>
      <c r="H96" s="1">
        <v>0.1</v>
      </c>
      <c r="I96" s="1">
        <v>27</v>
      </c>
      <c r="J96" t="s">
        <v>13</v>
      </c>
    </row>
    <row r="97" spans="1:10" x14ac:dyDescent="0.35">
      <c r="A97" t="s">
        <v>127</v>
      </c>
      <c r="B97" s="2">
        <v>43291</v>
      </c>
      <c r="C97" t="s">
        <v>30</v>
      </c>
      <c r="D97" t="s">
        <v>16</v>
      </c>
      <c r="E97" s="1">
        <v>4</v>
      </c>
      <c r="F97" s="1">
        <v>16</v>
      </c>
      <c r="G97" s="1">
        <v>64</v>
      </c>
      <c r="H97" s="1">
        <v>7.0000000000000007E-2</v>
      </c>
      <c r="I97" s="1">
        <v>4</v>
      </c>
      <c r="J97" t="s">
        <v>17</v>
      </c>
    </row>
    <row r="98" spans="1:10" x14ac:dyDescent="0.35">
      <c r="A98" t="s">
        <v>128</v>
      </c>
      <c r="B98" s="2">
        <v>43291</v>
      </c>
      <c r="C98" t="s">
        <v>11</v>
      </c>
      <c r="D98" t="s">
        <v>24</v>
      </c>
      <c r="E98" s="1">
        <v>23</v>
      </c>
      <c r="F98" s="1">
        <v>80</v>
      </c>
      <c r="G98" s="1">
        <v>1840</v>
      </c>
      <c r="H98" s="1">
        <v>0.05</v>
      </c>
      <c r="I98" s="1">
        <v>92</v>
      </c>
      <c r="J98" t="s">
        <v>20</v>
      </c>
    </row>
    <row r="99" spans="1:10" x14ac:dyDescent="0.35">
      <c r="A99" t="s">
        <v>129</v>
      </c>
      <c r="B99" s="2">
        <v>43291</v>
      </c>
      <c r="C99" t="s">
        <v>19</v>
      </c>
      <c r="D99" t="s">
        <v>24</v>
      </c>
      <c r="E99" s="1">
        <v>10</v>
      </c>
      <c r="F99" s="1">
        <v>230</v>
      </c>
      <c r="G99" s="1">
        <v>2300</v>
      </c>
      <c r="H99" s="1">
        <v>0.02</v>
      </c>
      <c r="I99" s="1">
        <v>46</v>
      </c>
      <c r="J99" t="s">
        <v>22</v>
      </c>
    </row>
    <row r="100" spans="1:10" x14ac:dyDescent="0.35">
      <c r="A100" t="s">
        <v>130</v>
      </c>
      <c r="B100" s="2">
        <v>43291</v>
      </c>
      <c r="C100" t="s">
        <v>30</v>
      </c>
      <c r="D100" t="s">
        <v>24</v>
      </c>
      <c r="E100" s="1">
        <v>14</v>
      </c>
      <c r="F100" s="1">
        <v>16</v>
      </c>
      <c r="G100" s="1">
        <v>224</v>
      </c>
      <c r="H100" s="1">
        <v>0.01</v>
      </c>
      <c r="I100" s="1">
        <v>2</v>
      </c>
      <c r="J100" t="s">
        <v>25</v>
      </c>
    </row>
    <row r="101" spans="1:10" x14ac:dyDescent="0.35">
      <c r="A101" t="s">
        <v>131</v>
      </c>
      <c r="B101" s="2">
        <v>43291</v>
      </c>
      <c r="C101" t="s">
        <v>15</v>
      </c>
      <c r="D101" t="s">
        <v>16</v>
      </c>
      <c r="E101" s="1">
        <v>19</v>
      </c>
      <c r="F101" s="1">
        <v>40</v>
      </c>
      <c r="G101" s="1">
        <v>760</v>
      </c>
      <c r="H101" s="1">
        <v>0.1</v>
      </c>
      <c r="I101" s="1">
        <v>76</v>
      </c>
      <c r="J101" t="s">
        <v>28</v>
      </c>
    </row>
    <row r="102" spans="1:10" x14ac:dyDescent="0.35">
      <c r="A102" t="s">
        <v>132</v>
      </c>
      <c r="B102" s="2">
        <v>43291</v>
      </c>
      <c r="C102" t="s">
        <v>11</v>
      </c>
      <c r="D102" t="s">
        <v>31</v>
      </c>
      <c r="E102" s="1">
        <v>22</v>
      </c>
      <c r="F102" s="1">
        <v>80</v>
      </c>
      <c r="G102" s="1">
        <v>1760</v>
      </c>
      <c r="H102" s="1">
        <v>0.09</v>
      </c>
      <c r="I102" s="1">
        <v>158</v>
      </c>
      <c r="J102" t="s">
        <v>32</v>
      </c>
    </row>
    <row r="103" spans="1:10" x14ac:dyDescent="0.35">
      <c r="A103" t="s">
        <v>133</v>
      </c>
      <c r="B103" s="2">
        <v>43291</v>
      </c>
      <c r="C103" t="s">
        <v>30</v>
      </c>
      <c r="D103" t="s">
        <v>12</v>
      </c>
      <c r="E103" s="1">
        <v>18</v>
      </c>
      <c r="F103" s="1">
        <v>16</v>
      </c>
      <c r="G103" s="1">
        <v>288</v>
      </c>
      <c r="H103" s="1">
        <v>0.05</v>
      </c>
      <c r="I103" s="1">
        <v>14</v>
      </c>
      <c r="J103" t="s">
        <v>35</v>
      </c>
    </row>
    <row r="104" spans="1:10" x14ac:dyDescent="0.35">
      <c r="A104" t="s">
        <v>134</v>
      </c>
      <c r="B104" s="2">
        <v>43291</v>
      </c>
      <c r="C104" t="s">
        <v>15</v>
      </c>
      <c r="D104" t="s">
        <v>12</v>
      </c>
      <c r="E104" s="1">
        <v>18</v>
      </c>
      <c r="F104" s="1">
        <v>40</v>
      </c>
      <c r="G104" s="1">
        <v>720</v>
      </c>
      <c r="H104" s="1">
        <v>0.11</v>
      </c>
      <c r="I104" s="1">
        <v>79</v>
      </c>
      <c r="J104" t="s">
        <v>37</v>
      </c>
    </row>
    <row r="105" spans="1:10" x14ac:dyDescent="0.35">
      <c r="A105" t="s">
        <v>135</v>
      </c>
      <c r="B105" s="2">
        <v>43291</v>
      </c>
      <c r="C105" t="s">
        <v>15</v>
      </c>
      <c r="D105" t="s">
        <v>31</v>
      </c>
      <c r="E105" s="1">
        <v>21</v>
      </c>
      <c r="F105" s="1">
        <v>40</v>
      </c>
      <c r="G105" s="1">
        <v>840</v>
      </c>
      <c r="H105" s="1">
        <v>0.01</v>
      </c>
      <c r="I105" s="1">
        <v>8</v>
      </c>
      <c r="J105" t="s">
        <v>39</v>
      </c>
    </row>
    <row r="106" spans="1:10" x14ac:dyDescent="0.35">
      <c r="A106" t="s">
        <v>136</v>
      </c>
      <c r="B106" s="2">
        <v>43291</v>
      </c>
      <c r="C106" t="s">
        <v>11</v>
      </c>
      <c r="D106" t="s">
        <v>12</v>
      </c>
      <c r="E106" s="1">
        <v>6</v>
      </c>
      <c r="F106" s="1">
        <v>80</v>
      </c>
      <c r="G106" s="1">
        <v>480</v>
      </c>
      <c r="H106" s="1">
        <v>7.0000000000000007E-2</v>
      </c>
      <c r="I106" s="1">
        <v>34</v>
      </c>
      <c r="J106" t="s">
        <v>41</v>
      </c>
    </row>
    <row r="107" spans="1:10" x14ac:dyDescent="0.35">
      <c r="A107" t="s">
        <v>137</v>
      </c>
      <c r="B107" s="2">
        <v>43291</v>
      </c>
      <c r="C107" t="s">
        <v>34</v>
      </c>
      <c r="D107" t="s">
        <v>31</v>
      </c>
      <c r="E107" s="1">
        <v>17</v>
      </c>
      <c r="F107" s="1">
        <v>150</v>
      </c>
      <c r="G107" s="1">
        <v>2550</v>
      </c>
      <c r="H107" s="1">
        <v>0.02</v>
      </c>
      <c r="I107" s="1">
        <v>51</v>
      </c>
      <c r="J107" t="s">
        <v>43</v>
      </c>
    </row>
    <row r="108" spans="1:10" x14ac:dyDescent="0.35">
      <c r="A108" t="s">
        <v>138</v>
      </c>
      <c r="B108" s="2">
        <v>43291</v>
      </c>
      <c r="C108" t="s">
        <v>11</v>
      </c>
      <c r="D108" t="s">
        <v>24</v>
      </c>
      <c r="E108" s="1">
        <v>16</v>
      </c>
      <c r="F108" s="1">
        <v>80</v>
      </c>
      <c r="G108" s="1">
        <v>1280</v>
      </c>
      <c r="H108" s="1">
        <v>0.02</v>
      </c>
      <c r="I108" s="1">
        <v>26</v>
      </c>
      <c r="J108" t="s">
        <v>13</v>
      </c>
    </row>
    <row r="109" spans="1:10" x14ac:dyDescent="0.35">
      <c r="A109" t="s">
        <v>139</v>
      </c>
      <c r="B109" s="2">
        <v>43291</v>
      </c>
      <c r="C109" t="s">
        <v>15</v>
      </c>
      <c r="D109" t="s">
        <v>16</v>
      </c>
      <c r="E109" s="1">
        <v>15</v>
      </c>
      <c r="F109" s="1">
        <v>40</v>
      </c>
      <c r="G109" s="1">
        <v>600</v>
      </c>
      <c r="H109" s="1">
        <v>0.04</v>
      </c>
      <c r="I109" s="1">
        <v>24</v>
      </c>
      <c r="J109" t="s">
        <v>17</v>
      </c>
    </row>
    <row r="110" spans="1:10" x14ac:dyDescent="0.35">
      <c r="A110" t="s">
        <v>140</v>
      </c>
      <c r="B110" s="2">
        <v>43291</v>
      </c>
      <c r="C110" t="s">
        <v>19</v>
      </c>
      <c r="D110" t="s">
        <v>27</v>
      </c>
      <c r="E110" s="1">
        <v>2</v>
      </c>
      <c r="F110" s="1">
        <v>230</v>
      </c>
      <c r="G110" s="1">
        <v>460</v>
      </c>
      <c r="H110" s="1">
        <v>0.08</v>
      </c>
      <c r="I110" s="1">
        <v>37</v>
      </c>
      <c r="J110" t="s">
        <v>20</v>
      </c>
    </row>
    <row r="111" spans="1:10" x14ac:dyDescent="0.35">
      <c r="A111" t="s">
        <v>141</v>
      </c>
      <c r="B111" s="2">
        <v>43291</v>
      </c>
      <c r="C111" t="s">
        <v>15</v>
      </c>
      <c r="D111" t="s">
        <v>31</v>
      </c>
      <c r="E111" s="1">
        <v>3</v>
      </c>
      <c r="F111" s="1">
        <v>40</v>
      </c>
      <c r="G111" s="1">
        <v>120</v>
      </c>
      <c r="H111" s="1">
        <v>0.03</v>
      </c>
      <c r="I111" s="1">
        <v>4</v>
      </c>
      <c r="J111" t="s">
        <v>22</v>
      </c>
    </row>
    <row r="112" spans="1:10" x14ac:dyDescent="0.35">
      <c r="A112" t="s">
        <v>142</v>
      </c>
      <c r="B112" s="2">
        <v>43291</v>
      </c>
      <c r="C112" t="s">
        <v>19</v>
      </c>
      <c r="D112" t="s">
        <v>31</v>
      </c>
      <c r="E112" s="1">
        <v>21</v>
      </c>
      <c r="F112" s="1">
        <v>230</v>
      </c>
      <c r="G112" s="1">
        <v>4830</v>
      </c>
      <c r="H112" s="1">
        <v>0.05</v>
      </c>
      <c r="I112" s="1">
        <v>242</v>
      </c>
      <c r="J112" t="s">
        <v>25</v>
      </c>
    </row>
    <row r="113" spans="1:10" x14ac:dyDescent="0.35">
      <c r="A113" t="s">
        <v>143</v>
      </c>
      <c r="B113" s="2">
        <v>43291</v>
      </c>
      <c r="C113" t="s">
        <v>34</v>
      </c>
      <c r="D113" t="s">
        <v>12</v>
      </c>
      <c r="E113" s="1">
        <v>11</v>
      </c>
      <c r="F113" s="1">
        <v>150</v>
      </c>
      <c r="G113" s="1">
        <v>1650</v>
      </c>
      <c r="H113" s="1">
        <v>0.05</v>
      </c>
      <c r="I113" s="1">
        <v>82</v>
      </c>
      <c r="J113" t="s">
        <v>28</v>
      </c>
    </row>
    <row r="114" spans="1:10" x14ac:dyDescent="0.35">
      <c r="A114" t="s">
        <v>144</v>
      </c>
      <c r="B114" s="2">
        <v>43292</v>
      </c>
      <c r="C114" t="s">
        <v>34</v>
      </c>
      <c r="D114" t="s">
        <v>16</v>
      </c>
      <c r="E114" s="1">
        <v>15</v>
      </c>
      <c r="F114" s="1">
        <v>150</v>
      </c>
      <c r="G114" s="1">
        <v>2250</v>
      </c>
      <c r="H114" s="1">
        <v>0.02</v>
      </c>
      <c r="I114" s="1">
        <v>45</v>
      </c>
      <c r="J114" t="s">
        <v>32</v>
      </c>
    </row>
    <row r="115" spans="1:10" x14ac:dyDescent="0.35">
      <c r="A115" t="s">
        <v>145</v>
      </c>
      <c r="B115" s="2">
        <v>43292</v>
      </c>
      <c r="C115" t="s">
        <v>11</v>
      </c>
      <c r="D115" t="s">
        <v>27</v>
      </c>
      <c r="E115" s="1">
        <v>16</v>
      </c>
      <c r="F115" s="1">
        <v>80</v>
      </c>
      <c r="G115" s="1">
        <v>1280</v>
      </c>
      <c r="H115" s="1">
        <v>0.1</v>
      </c>
      <c r="I115" s="1">
        <v>128</v>
      </c>
      <c r="J115" t="s">
        <v>35</v>
      </c>
    </row>
    <row r="116" spans="1:10" x14ac:dyDescent="0.35">
      <c r="A116" t="s">
        <v>146</v>
      </c>
      <c r="B116" s="2">
        <v>43292</v>
      </c>
      <c r="C116" t="s">
        <v>19</v>
      </c>
      <c r="D116" t="s">
        <v>31</v>
      </c>
      <c r="E116" s="1">
        <v>17</v>
      </c>
      <c r="F116" s="1">
        <v>230</v>
      </c>
      <c r="G116" s="1">
        <v>3910</v>
      </c>
      <c r="H116" s="1">
        <v>0.11</v>
      </c>
      <c r="I116" s="1">
        <v>430</v>
      </c>
      <c r="J116" t="s">
        <v>37</v>
      </c>
    </row>
    <row r="117" spans="1:10" x14ac:dyDescent="0.35">
      <c r="A117" t="s">
        <v>147</v>
      </c>
      <c r="B117" s="2">
        <v>43292</v>
      </c>
      <c r="C117" t="s">
        <v>15</v>
      </c>
      <c r="D117" t="s">
        <v>31</v>
      </c>
      <c r="E117" s="1">
        <v>16</v>
      </c>
      <c r="F117" s="1">
        <v>40</v>
      </c>
      <c r="G117" s="1">
        <v>640</v>
      </c>
      <c r="H117" s="1">
        <v>0.11</v>
      </c>
      <c r="I117" s="1">
        <v>70</v>
      </c>
      <c r="J117" t="s">
        <v>39</v>
      </c>
    </row>
    <row r="118" spans="1:10" x14ac:dyDescent="0.35">
      <c r="A118" t="s">
        <v>148</v>
      </c>
      <c r="B118" s="2">
        <v>43292</v>
      </c>
      <c r="C118" t="s">
        <v>11</v>
      </c>
      <c r="D118" t="s">
        <v>27</v>
      </c>
      <c r="E118" s="1">
        <v>2</v>
      </c>
      <c r="F118" s="1">
        <v>80</v>
      </c>
      <c r="G118" s="1">
        <v>160</v>
      </c>
      <c r="H118" s="1">
        <v>0.08</v>
      </c>
      <c r="I118" s="1">
        <v>13</v>
      </c>
      <c r="J118" t="s">
        <v>41</v>
      </c>
    </row>
    <row r="119" spans="1:10" x14ac:dyDescent="0.35">
      <c r="A119" t="s">
        <v>149</v>
      </c>
      <c r="B119" s="2">
        <v>43292</v>
      </c>
      <c r="C119" t="s">
        <v>34</v>
      </c>
      <c r="D119" t="s">
        <v>16</v>
      </c>
      <c r="E119" s="1">
        <v>22</v>
      </c>
      <c r="F119" s="1">
        <v>150</v>
      </c>
      <c r="G119" s="1">
        <v>3300</v>
      </c>
      <c r="H119" s="1">
        <v>0.02</v>
      </c>
      <c r="I119" s="1">
        <v>66</v>
      </c>
      <c r="J119" t="s">
        <v>43</v>
      </c>
    </row>
    <row r="120" spans="1:10" x14ac:dyDescent="0.35">
      <c r="A120" t="s">
        <v>150</v>
      </c>
      <c r="B120" s="2">
        <v>43292</v>
      </c>
      <c r="C120" t="s">
        <v>11</v>
      </c>
      <c r="D120" t="s">
        <v>12</v>
      </c>
      <c r="E120" s="1">
        <v>16</v>
      </c>
      <c r="F120" s="1">
        <v>80</v>
      </c>
      <c r="G120" s="1">
        <v>1280</v>
      </c>
      <c r="H120" s="1">
        <v>0.03</v>
      </c>
      <c r="I120" s="1">
        <v>38</v>
      </c>
      <c r="J120" t="s">
        <v>13</v>
      </c>
    </row>
    <row r="121" spans="1:10" x14ac:dyDescent="0.35">
      <c r="A121" t="s">
        <v>151</v>
      </c>
      <c r="B121" s="2">
        <v>43293</v>
      </c>
      <c r="C121" t="s">
        <v>30</v>
      </c>
      <c r="D121" t="s">
        <v>12</v>
      </c>
      <c r="E121" s="1">
        <v>20</v>
      </c>
      <c r="F121" s="1">
        <v>16</v>
      </c>
      <c r="G121" s="1">
        <v>320</v>
      </c>
      <c r="H121" s="1">
        <v>0.11</v>
      </c>
      <c r="I121" s="1">
        <v>35</v>
      </c>
      <c r="J121" t="s">
        <v>17</v>
      </c>
    </row>
    <row r="122" spans="1:10" x14ac:dyDescent="0.35">
      <c r="A122" t="s">
        <v>152</v>
      </c>
      <c r="B122" s="2">
        <v>43293</v>
      </c>
      <c r="C122" t="s">
        <v>11</v>
      </c>
      <c r="D122" t="s">
        <v>31</v>
      </c>
      <c r="E122" s="1">
        <v>9</v>
      </c>
      <c r="F122" s="1">
        <v>80</v>
      </c>
      <c r="G122" s="1">
        <v>720</v>
      </c>
      <c r="H122" s="1">
        <v>7.0000000000000007E-2</v>
      </c>
      <c r="I122" s="1">
        <v>50</v>
      </c>
      <c r="J122" t="s">
        <v>20</v>
      </c>
    </row>
    <row r="123" spans="1:10" x14ac:dyDescent="0.35">
      <c r="A123" t="s">
        <v>153</v>
      </c>
      <c r="B123" s="2">
        <v>43293</v>
      </c>
      <c r="C123" t="s">
        <v>19</v>
      </c>
      <c r="D123" t="s">
        <v>31</v>
      </c>
      <c r="E123" s="1">
        <v>5</v>
      </c>
      <c r="F123" s="1">
        <v>230</v>
      </c>
      <c r="G123" s="1">
        <v>1150</v>
      </c>
      <c r="H123" s="1">
        <v>0.12</v>
      </c>
      <c r="I123" s="1">
        <v>138</v>
      </c>
      <c r="J123" t="s">
        <v>22</v>
      </c>
    </row>
    <row r="124" spans="1:10" x14ac:dyDescent="0.35">
      <c r="A124" t="s">
        <v>154</v>
      </c>
      <c r="B124" s="2">
        <v>43293</v>
      </c>
      <c r="C124" t="s">
        <v>30</v>
      </c>
      <c r="D124" t="s">
        <v>12</v>
      </c>
      <c r="E124" s="1">
        <v>20</v>
      </c>
      <c r="F124" s="1">
        <v>16</v>
      </c>
      <c r="G124" s="1">
        <v>320</v>
      </c>
      <c r="H124" s="1">
        <v>0.01</v>
      </c>
      <c r="I124" s="1">
        <v>3</v>
      </c>
      <c r="J124" t="s">
        <v>25</v>
      </c>
    </row>
    <row r="125" spans="1:10" x14ac:dyDescent="0.35">
      <c r="A125" t="s">
        <v>155</v>
      </c>
      <c r="B125" s="2">
        <v>43293</v>
      </c>
      <c r="C125" t="s">
        <v>30</v>
      </c>
      <c r="D125" t="s">
        <v>12</v>
      </c>
      <c r="E125" s="1">
        <v>16</v>
      </c>
      <c r="F125" s="1">
        <v>16</v>
      </c>
      <c r="G125" s="1">
        <v>256</v>
      </c>
      <c r="H125" s="1">
        <v>0.03</v>
      </c>
      <c r="I125" s="1">
        <v>8</v>
      </c>
      <c r="J125" t="s">
        <v>28</v>
      </c>
    </row>
    <row r="126" spans="1:10" x14ac:dyDescent="0.35">
      <c r="A126" t="s">
        <v>156</v>
      </c>
      <c r="B126" s="2">
        <v>43293</v>
      </c>
      <c r="C126" t="s">
        <v>34</v>
      </c>
      <c r="D126" t="s">
        <v>27</v>
      </c>
      <c r="E126" s="1">
        <v>15</v>
      </c>
      <c r="F126" s="1">
        <v>150</v>
      </c>
      <c r="G126" s="1">
        <v>2250</v>
      </c>
      <c r="H126" s="1">
        <v>0.05</v>
      </c>
      <c r="I126" s="1">
        <v>112</v>
      </c>
      <c r="J126" t="s">
        <v>32</v>
      </c>
    </row>
    <row r="127" spans="1:10" x14ac:dyDescent="0.35">
      <c r="A127" t="s">
        <v>157</v>
      </c>
      <c r="B127" s="2">
        <v>43293</v>
      </c>
      <c r="C127" t="s">
        <v>19</v>
      </c>
      <c r="D127" t="s">
        <v>16</v>
      </c>
      <c r="E127" s="1">
        <v>19</v>
      </c>
      <c r="F127" s="1">
        <v>230</v>
      </c>
      <c r="G127" s="1">
        <v>4370</v>
      </c>
      <c r="H127" s="1">
        <v>0.11</v>
      </c>
      <c r="I127" s="1">
        <v>481</v>
      </c>
      <c r="J127" t="s">
        <v>35</v>
      </c>
    </row>
    <row r="128" spans="1:10" x14ac:dyDescent="0.35">
      <c r="A128" t="s">
        <v>158</v>
      </c>
      <c r="B128" s="2">
        <v>43294</v>
      </c>
      <c r="C128" t="s">
        <v>34</v>
      </c>
      <c r="D128" t="s">
        <v>24</v>
      </c>
      <c r="E128" s="1">
        <v>2</v>
      </c>
      <c r="F128" s="1">
        <v>150</v>
      </c>
      <c r="G128" s="1">
        <v>300</v>
      </c>
      <c r="H128" s="1">
        <v>0.02</v>
      </c>
      <c r="I128" s="1">
        <v>6</v>
      </c>
      <c r="J128" t="s">
        <v>37</v>
      </c>
    </row>
    <row r="129" spans="1:10" x14ac:dyDescent="0.35">
      <c r="A129" t="s">
        <v>159</v>
      </c>
      <c r="B129" s="2">
        <v>43294</v>
      </c>
      <c r="C129" t="s">
        <v>11</v>
      </c>
      <c r="D129" t="s">
        <v>31</v>
      </c>
      <c r="E129" s="1">
        <v>16</v>
      </c>
      <c r="F129" s="1">
        <v>80</v>
      </c>
      <c r="G129" s="1">
        <v>1280</v>
      </c>
      <c r="H129" s="1">
        <v>0.05</v>
      </c>
      <c r="I129" s="1">
        <v>64</v>
      </c>
      <c r="J129" t="s">
        <v>39</v>
      </c>
    </row>
    <row r="130" spans="1:10" x14ac:dyDescent="0.35">
      <c r="A130" t="s">
        <v>160</v>
      </c>
      <c r="B130" s="2">
        <v>43294</v>
      </c>
      <c r="C130" t="s">
        <v>15</v>
      </c>
      <c r="D130" t="s">
        <v>24</v>
      </c>
      <c r="E130" s="1">
        <v>2</v>
      </c>
      <c r="F130" s="1">
        <v>40</v>
      </c>
      <c r="G130" s="1">
        <v>80</v>
      </c>
      <c r="H130" s="1">
        <v>0.03</v>
      </c>
      <c r="I130" s="1">
        <v>2</v>
      </c>
      <c r="J130" t="s">
        <v>41</v>
      </c>
    </row>
    <row r="131" spans="1:10" x14ac:dyDescent="0.35">
      <c r="A131" t="s">
        <v>161</v>
      </c>
      <c r="B131" s="2">
        <v>43294</v>
      </c>
      <c r="C131" t="s">
        <v>11</v>
      </c>
      <c r="D131" t="s">
        <v>16</v>
      </c>
      <c r="E131" s="1">
        <v>5</v>
      </c>
      <c r="F131" s="1">
        <v>80</v>
      </c>
      <c r="G131" s="1">
        <v>400</v>
      </c>
      <c r="H131" s="1">
        <v>0.04</v>
      </c>
      <c r="I131" s="1">
        <v>16</v>
      </c>
      <c r="J131" t="s">
        <v>43</v>
      </c>
    </row>
    <row r="132" spans="1:10" x14ac:dyDescent="0.35">
      <c r="A132" t="s">
        <v>162</v>
      </c>
      <c r="B132" s="2">
        <v>43294</v>
      </c>
      <c r="C132" t="s">
        <v>19</v>
      </c>
      <c r="D132" t="s">
        <v>27</v>
      </c>
      <c r="E132" s="1">
        <v>17</v>
      </c>
      <c r="F132" s="1">
        <v>230</v>
      </c>
      <c r="G132" s="1">
        <v>3910</v>
      </c>
      <c r="H132" s="1">
        <v>0.12</v>
      </c>
      <c r="I132" s="1">
        <v>469</v>
      </c>
      <c r="J132" t="s">
        <v>13</v>
      </c>
    </row>
    <row r="133" spans="1:10" x14ac:dyDescent="0.35">
      <c r="A133" t="s">
        <v>163</v>
      </c>
      <c r="B133" s="2">
        <v>43294</v>
      </c>
      <c r="C133" t="s">
        <v>11</v>
      </c>
      <c r="D133" t="s">
        <v>12</v>
      </c>
      <c r="E133" s="1">
        <v>8</v>
      </c>
      <c r="F133" s="1">
        <v>80</v>
      </c>
      <c r="G133" s="1">
        <v>640</v>
      </c>
      <c r="H133" s="1">
        <v>0.08</v>
      </c>
      <c r="I133" s="1">
        <v>51</v>
      </c>
      <c r="J133" t="s">
        <v>17</v>
      </c>
    </row>
    <row r="134" spans="1:10" x14ac:dyDescent="0.35">
      <c r="A134" t="s">
        <v>164</v>
      </c>
      <c r="B134" s="2">
        <v>43294</v>
      </c>
      <c r="C134" t="s">
        <v>15</v>
      </c>
      <c r="D134" t="s">
        <v>16</v>
      </c>
      <c r="E134" s="1">
        <v>4</v>
      </c>
      <c r="F134" s="1">
        <v>40</v>
      </c>
      <c r="G134" s="1">
        <v>160</v>
      </c>
      <c r="H134" s="1">
        <v>0.06</v>
      </c>
      <c r="I134" s="1">
        <v>10</v>
      </c>
      <c r="J134" t="s">
        <v>20</v>
      </c>
    </row>
    <row r="135" spans="1:10" x14ac:dyDescent="0.35">
      <c r="A135" t="s">
        <v>165</v>
      </c>
      <c r="B135" s="2">
        <v>43294</v>
      </c>
      <c r="C135" t="s">
        <v>30</v>
      </c>
      <c r="D135" t="s">
        <v>24</v>
      </c>
      <c r="E135" s="1">
        <v>17</v>
      </c>
      <c r="F135" s="1">
        <v>16</v>
      </c>
      <c r="G135" s="1">
        <v>272</v>
      </c>
      <c r="H135" s="1">
        <v>0.05</v>
      </c>
      <c r="I135" s="1">
        <v>14</v>
      </c>
      <c r="J135" t="s">
        <v>22</v>
      </c>
    </row>
    <row r="136" spans="1:10" x14ac:dyDescent="0.35">
      <c r="A136" t="s">
        <v>166</v>
      </c>
      <c r="B136" s="2">
        <v>43294</v>
      </c>
      <c r="C136" t="s">
        <v>19</v>
      </c>
      <c r="D136" t="s">
        <v>27</v>
      </c>
      <c r="E136" s="1">
        <v>8</v>
      </c>
      <c r="F136" s="1">
        <v>230</v>
      </c>
      <c r="G136" s="1">
        <v>1840</v>
      </c>
      <c r="H136" s="1">
        <v>0.01</v>
      </c>
      <c r="I136" s="1">
        <v>18</v>
      </c>
      <c r="J136" t="s">
        <v>25</v>
      </c>
    </row>
    <row r="137" spans="1:10" x14ac:dyDescent="0.35">
      <c r="A137" t="s">
        <v>167</v>
      </c>
      <c r="B137" s="2">
        <v>43294</v>
      </c>
      <c r="C137" t="s">
        <v>30</v>
      </c>
      <c r="D137" t="s">
        <v>31</v>
      </c>
      <c r="E137" s="1">
        <v>19</v>
      </c>
      <c r="F137" s="1">
        <v>16</v>
      </c>
      <c r="G137" s="1">
        <v>304</v>
      </c>
      <c r="H137" s="1">
        <v>0.02</v>
      </c>
      <c r="I137" s="1">
        <v>6</v>
      </c>
      <c r="J137" t="s">
        <v>28</v>
      </c>
    </row>
    <row r="138" spans="1:10" x14ac:dyDescent="0.35">
      <c r="A138" t="s">
        <v>168</v>
      </c>
      <c r="B138" s="2">
        <v>43295</v>
      </c>
      <c r="C138" t="s">
        <v>15</v>
      </c>
      <c r="D138" t="s">
        <v>12</v>
      </c>
      <c r="E138" s="1">
        <v>18</v>
      </c>
      <c r="F138" s="1">
        <v>40</v>
      </c>
      <c r="G138" s="1">
        <v>720</v>
      </c>
      <c r="H138" s="1">
        <v>0.06</v>
      </c>
      <c r="I138" s="1">
        <v>43</v>
      </c>
      <c r="J138" t="s">
        <v>32</v>
      </c>
    </row>
    <row r="139" spans="1:10" x14ac:dyDescent="0.35">
      <c r="A139" t="s">
        <v>169</v>
      </c>
      <c r="B139" s="2">
        <v>43295</v>
      </c>
      <c r="C139" t="s">
        <v>34</v>
      </c>
      <c r="D139" t="s">
        <v>31</v>
      </c>
      <c r="E139" s="1">
        <v>23</v>
      </c>
      <c r="F139" s="1">
        <v>150</v>
      </c>
      <c r="G139" s="1">
        <v>3450</v>
      </c>
      <c r="H139" s="1">
        <v>0.08</v>
      </c>
      <c r="I139" s="1">
        <v>276</v>
      </c>
      <c r="J139" t="s">
        <v>35</v>
      </c>
    </row>
    <row r="140" spans="1:10" x14ac:dyDescent="0.35">
      <c r="A140" t="s">
        <v>170</v>
      </c>
      <c r="B140" s="2">
        <v>43295</v>
      </c>
      <c r="C140" t="s">
        <v>19</v>
      </c>
      <c r="D140" t="s">
        <v>12</v>
      </c>
      <c r="E140" s="1">
        <v>5</v>
      </c>
      <c r="F140" s="1">
        <v>230</v>
      </c>
      <c r="G140" s="1">
        <v>1150</v>
      </c>
      <c r="H140" s="1">
        <v>0.1</v>
      </c>
      <c r="I140" s="1">
        <v>115</v>
      </c>
      <c r="J140" t="s">
        <v>37</v>
      </c>
    </row>
    <row r="141" spans="1:10" x14ac:dyDescent="0.35">
      <c r="A141" t="s">
        <v>171</v>
      </c>
      <c r="B141" s="2">
        <v>43295</v>
      </c>
      <c r="C141" t="s">
        <v>11</v>
      </c>
      <c r="D141" t="s">
        <v>27</v>
      </c>
      <c r="E141" s="1">
        <v>21</v>
      </c>
      <c r="F141" s="1">
        <v>80</v>
      </c>
      <c r="G141" s="1">
        <v>1680</v>
      </c>
      <c r="H141" s="1">
        <v>0.02</v>
      </c>
      <c r="I141" s="1">
        <v>34</v>
      </c>
      <c r="J141" t="s">
        <v>39</v>
      </c>
    </row>
    <row r="142" spans="1:10" x14ac:dyDescent="0.35">
      <c r="A142" t="s">
        <v>172</v>
      </c>
      <c r="B142" s="2">
        <v>43295</v>
      </c>
      <c r="C142" t="s">
        <v>30</v>
      </c>
      <c r="D142" t="s">
        <v>24</v>
      </c>
      <c r="E142" s="1">
        <v>6</v>
      </c>
      <c r="F142" s="1">
        <v>16</v>
      </c>
      <c r="G142" s="1">
        <v>96</v>
      </c>
      <c r="H142" s="1">
        <v>7.0000000000000007E-2</v>
      </c>
      <c r="I142" s="1">
        <v>7</v>
      </c>
      <c r="J142" t="s">
        <v>13</v>
      </c>
    </row>
    <row r="143" spans="1:10" x14ac:dyDescent="0.35">
      <c r="A143" t="s">
        <v>173</v>
      </c>
      <c r="B143" s="2">
        <v>43295</v>
      </c>
      <c r="C143" t="s">
        <v>15</v>
      </c>
      <c r="D143" t="s">
        <v>12</v>
      </c>
      <c r="E143" s="1">
        <v>9</v>
      </c>
      <c r="F143" s="1">
        <v>40</v>
      </c>
      <c r="G143" s="1">
        <v>360</v>
      </c>
      <c r="H143" s="1">
        <v>0.01</v>
      </c>
      <c r="I143" s="1">
        <v>4</v>
      </c>
      <c r="J143" t="s">
        <v>17</v>
      </c>
    </row>
    <row r="144" spans="1:10" x14ac:dyDescent="0.35">
      <c r="A144" t="s">
        <v>174</v>
      </c>
      <c r="B144" s="2">
        <v>43295</v>
      </c>
      <c r="C144" t="s">
        <v>19</v>
      </c>
      <c r="D144" t="s">
        <v>16</v>
      </c>
      <c r="E144" s="1">
        <v>9</v>
      </c>
      <c r="F144" s="1">
        <v>230</v>
      </c>
      <c r="G144" s="1">
        <v>2070</v>
      </c>
      <c r="H144" s="1">
        <v>0.03</v>
      </c>
      <c r="I144" s="1">
        <v>62</v>
      </c>
      <c r="J144" t="s">
        <v>20</v>
      </c>
    </row>
    <row r="145" spans="1:10" x14ac:dyDescent="0.35">
      <c r="A145" t="s">
        <v>175</v>
      </c>
      <c r="B145" s="2">
        <v>43295</v>
      </c>
      <c r="C145" t="s">
        <v>19</v>
      </c>
      <c r="D145" t="s">
        <v>24</v>
      </c>
      <c r="E145" s="1">
        <v>5</v>
      </c>
      <c r="F145" s="1">
        <v>230</v>
      </c>
      <c r="G145" s="1">
        <v>1150</v>
      </c>
      <c r="H145" s="1">
        <v>0.1</v>
      </c>
      <c r="I145" s="1">
        <v>115</v>
      </c>
      <c r="J145" t="s">
        <v>22</v>
      </c>
    </row>
    <row r="146" spans="1:10" x14ac:dyDescent="0.35">
      <c r="A146" t="s">
        <v>176</v>
      </c>
      <c r="B146" s="2">
        <v>43295</v>
      </c>
      <c r="C146" t="s">
        <v>15</v>
      </c>
      <c r="D146" t="s">
        <v>27</v>
      </c>
      <c r="E146" s="1">
        <v>7</v>
      </c>
      <c r="F146" s="1">
        <v>40</v>
      </c>
      <c r="G146" s="1">
        <v>280</v>
      </c>
      <c r="H146" s="1">
        <v>0.11</v>
      </c>
      <c r="I146" s="1">
        <v>31</v>
      </c>
      <c r="J146" t="s">
        <v>25</v>
      </c>
    </row>
    <row r="147" spans="1:10" x14ac:dyDescent="0.35">
      <c r="A147" t="s">
        <v>177</v>
      </c>
      <c r="B147" s="2">
        <v>43295</v>
      </c>
      <c r="C147" t="s">
        <v>19</v>
      </c>
      <c r="D147" t="s">
        <v>12</v>
      </c>
      <c r="E147" s="1">
        <v>20</v>
      </c>
      <c r="F147" s="1">
        <v>230</v>
      </c>
      <c r="G147" s="1">
        <v>4600</v>
      </c>
      <c r="H147" s="1">
        <v>0.04</v>
      </c>
      <c r="I147" s="1">
        <v>184</v>
      </c>
      <c r="J147" t="s">
        <v>28</v>
      </c>
    </row>
    <row r="148" spans="1:10" x14ac:dyDescent="0.35">
      <c r="A148" t="s">
        <v>178</v>
      </c>
      <c r="B148" s="2">
        <v>43295</v>
      </c>
      <c r="C148" t="s">
        <v>34</v>
      </c>
      <c r="D148" t="s">
        <v>12</v>
      </c>
      <c r="E148" s="1">
        <v>22</v>
      </c>
      <c r="F148" s="1">
        <v>150</v>
      </c>
      <c r="G148" s="1">
        <v>3300</v>
      </c>
      <c r="H148" s="1">
        <v>7.0000000000000007E-2</v>
      </c>
      <c r="I148" s="1">
        <v>231</v>
      </c>
      <c r="J148" t="s">
        <v>32</v>
      </c>
    </row>
    <row r="149" spans="1:10" x14ac:dyDescent="0.35">
      <c r="A149" t="s">
        <v>179</v>
      </c>
      <c r="B149" s="2">
        <v>43296</v>
      </c>
      <c r="C149" t="s">
        <v>19</v>
      </c>
      <c r="D149" t="s">
        <v>24</v>
      </c>
      <c r="E149" s="1">
        <v>6</v>
      </c>
      <c r="F149" s="1">
        <v>230</v>
      </c>
      <c r="G149" s="1">
        <v>1380</v>
      </c>
      <c r="H149" s="1">
        <v>0.05</v>
      </c>
      <c r="I149" s="1">
        <v>69</v>
      </c>
      <c r="J149" t="s">
        <v>35</v>
      </c>
    </row>
    <row r="150" spans="1:10" x14ac:dyDescent="0.35">
      <c r="A150" t="s">
        <v>180</v>
      </c>
      <c r="B150" s="2">
        <v>43296</v>
      </c>
      <c r="C150" t="s">
        <v>19</v>
      </c>
      <c r="D150" t="s">
        <v>24</v>
      </c>
      <c r="E150" s="1">
        <v>15</v>
      </c>
      <c r="F150" s="1">
        <v>230</v>
      </c>
      <c r="G150" s="1">
        <v>3450</v>
      </c>
      <c r="H150" s="1">
        <v>0.11</v>
      </c>
      <c r="I150" s="1">
        <v>380</v>
      </c>
      <c r="J150" t="s">
        <v>37</v>
      </c>
    </row>
    <row r="151" spans="1:10" x14ac:dyDescent="0.35">
      <c r="A151" t="s">
        <v>181</v>
      </c>
      <c r="B151" s="2">
        <v>43296</v>
      </c>
      <c r="C151" t="s">
        <v>15</v>
      </c>
      <c r="D151" t="s">
        <v>16</v>
      </c>
      <c r="E151" s="1">
        <v>8</v>
      </c>
      <c r="F151" s="1">
        <v>40</v>
      </c>
      <c r="G151" s="1">
        <v>320</v>
      </c>
      <c r="H151" s="1">
        <v>0.09</v>
      </c>
      <c r="I151" s="1">
        <v>29</v>
      </c>
      <c r="J151" t="s">
        <v>39</v>
      </c>
    </row>
    <row r="152" spans="1:10" x14ac:dyDescent="0.35">
      <c r="A152" t="s">
        <v>182</v>
      </c>
      <c r="B152" s="2">
        <v>43296</v>
      </c>
      <c r="C152" t="s">
        <v>15</v>
      </c>
      <c r="D152" t="s">
        <v>12</v>
      </c>
      <c r="E152" s="1">
        <v>5</v>
      </c>
      <c r="F152" s="1">
        <v>40</v>
      </c>
      <c r="G152" s="1">
        <v>200</v>
      </c>
      <c r="H152" s="1">
        <v>0.06</v>
      </c>
      <c r="I152" s="1">
        <v>12</v>
      </c>
      <c r="J152" t="s">
        <v>41</v>
      </c>
    </row>
    <row r="153" spans="1:10" x14ac:dyDescent="0.35">
      <c r="A153" t="s">
        <v>183</v>
      </c>
      <c r="B153" s="2">
        <v>43296</v>
      </c>
      <c r="C153" t="s">
        <v>11</v>
      </c>
      <c r="D153" t="s">
        <v>31</v>
      </c>
      <c r="E153" s="1">
        <v>6</v>
      </c>
      <c r="F153" s="1">
        <v>80</v>
      </c>
      <c r="G153" s="1">
        <v>480</v>
      </c>
      <c r="H153" s="1">
        <v>0.09</v>
      </c>
      <c r="I153" s="1">
        <v>43</v>
      </c>
      <c r="J153" t="s">
        <v>43</v>
      </c>
    </row>
    <row r="154" spans="1:10" x14ac:dyDescent="0.35">
      <c r="A154" t="s">
        <v>184</v>
      </c>
      <c r="B154" s="2">
        <v>43296</v>
      </c>
      <c r="C154" t="s">
        <v>15</v>
      </c>
      <c r="D154" t="s">
        <v>27</v>
      </c>
      <c r="E154" s="1">
        <v>22</v>
      </c>
      <c r="F154" s="1">
        <v>40</v>
      </c>
      <c r="G154" s="1">
        <v>880</v>
      </c>
      <c r="H154" s="1">
        <v>0.01</v>
      </c>
      <c r="I154" s="1">
        <v>9</v>
      </c>
      <c r="J154" t="s">
        <v>13</v>
      </c>
    </row>
    <row r="155" spans="1:10" x14ac:dyDescent="0.35">
      <c r="A155" t="s">
        <v>185</v>
      </c>
      <c r="B155" s="2">
        <v>43296</v>
      </c>
      <c r="C155" t="s">
        <v>30</v>
      </c>
      <c r="D155" t="s">
        <v>12</v>
      </c>
      <c r="E155" s="1">
        <v>7</v>
      </c>
      <c r="F155" s="1">
        <v>16</v>
      </c>
      <c r="G155" s="1">
        <v>112</v>
      </c>
      <c r="H155" s="1">
        <v>0.08</v>
      </c>
      <c r="I155" s="1">
        <v>9</v>
      </c>
      <c r="J155" t="s">
        <v>17</v>
      </c>
    </row>
    <row r="156" spans="1:10" x14ac:dyDescent="0.35">
      <c r="A156" t="s">
        <v>186</v>
      </c>
      <c r="B156" s="2">
        <v>43296</v>
      </c>
      <c r="C156" t="s">
        <v>34</v>
      </c>
      <c r="D156" t="s">
        <v>24</v>
      </c>
      <c r="E156" s="1">
        <v>22</v>
      </c>
      <c r="F156" s="1">
        <v>150</v>
      </c>
      <c r="G156" s="1">
        <v>3300</v>
      </c>
      <c r="H156" s="1">
        <v>0.04</v>
      </c>
      <c r="I156" s="1">
        <v>132</v>
      </c>
      <c r="J156" t="s">
        <v>20</v>
      </c>
    </row>
    <row r="157" spans="1:10" x14ac:dyDescent="0.35">
      <c r="A157" t="s">
        <v>187</v>
      </c>
      <c r="B157" s="2">
        <v>43296</v>
      </c>
      <c r="C157" t="s">
        <v>30</v>
      </c>
      <c r="D157" t="s">
        <v>27</v>
      </c>
      <c r="E157" s="1">
        <v>15</v>
      </c>
      <c r="F157" s="1">
        <v>16</v>
      </c>
      <c r="G157" s="1">
        <v>240</v>
      </c>
      <c r="H157" s="1">
        <v>0.12</v>
      </c>
      <c r="I157" s="1">
        <v>29</v>
      </c>
      <c r="J157" t="s">
        <v>22</v>
      </c>
    </row>
    <row r="158" spans="1:10" x14ac:dyDescent="0.35">
      <c r="A158" t="s">
        <v>188</v>
      </c>
      <c r="B158" s="2">
        <v>43296</v>
      </c>
      <c r="C158" t="s">
        <v>11</v>
      </c>
      <c r="D158" t="s">
        <v>24</v>
      </c>
      <c r="E158" s="1">
        <v>20</v>
      </c>
      <c r="F158" s="1">
        <v>80</v>
      </c>
      <c r="G158" s="1">
        <v>1600</v>
      </c>
      <c r="H158" s="1">
        <v>7.0000000000000007E-2</v>
      </c>
      <c r="I158" s="1">
        <v>112</v>
      </c>
      <c r="J158" t="s">
        <v>25</v>
      </c>
    </row>
    <row r="159" spans="1:10" x14ac:dyDescent="0.35">
      <c r="A159" t="s">
        <v>189</v>
      </c>
      <c r="B159" s="2">
        <v>43296</v>
      </c>
      <c r="C159" t="s">
        <v>11</v>
      </c>
      <c r="D159" t="s">
        <v>24</v>
      </c>
      <c r="E159" s="1">
        <v>7</v>
      </c>
      <c r="F159" s="1">
        <v>80</v>
      </c>
      <c r="G159" s="1">
        <v>560</v>
      </c>
      <c r="H159" s="1">
        <v>0.05</v>
      </c>
      <c r="I159" s="1">
        <v>28</v>
      </c>
      <c r="J159" t="s">
        <v>28</v>
      </c>
    </row>
    <row r="160" spans="1:10" x14ac:dyDescent="0.35">
      <c r="A160" t="s">
        <v>190</v>
      </c>
      <c r="B160" s="2">
        <v>43296</v>
      </c>
      <c r="C160" t="s">
        <v>11</v>
      </c>
      <c r="D160" t="s">
        <v>16</v>
      </c>
      <c r="E160" s="1">
        <v>10</v>
      </c>
      <c r="F160" s="1">
        <v>80</v>
      </c>
      <c r="G160" s="1">
        <v>800</v>
      </c>
      <c r="H160" s="1">
        <v>0.11</v>
      </c>
      <c r="I160" s="1">
        <v>88</v>
      </c>
      <c r="J160" t="s">
        <v>32</v>
      </c>
    </row>
    <row r="161" spans="1:10" x14ac:dyDescent="0.35">
      <c r="A161" t="s">
        <v>191</v>
      </c>
      <c r="B161" s="2">
        <v>43296</v>
      </c>
      <c r="C161" t="s">
        <v>11</v>
      </c>
      <c r="D161" t="s">
        <v>16</v>
      </c>
      <c r="E161" s="1">
        <v>2</v>
      </c>
      <c r="F161" s="1">
        <v>80</v>
      </c>
      <c r="G161" s="1">
        <v>160</v>
      </c>
      <c r="H161" s="1">
        <v>7.0000000000000007E-2</v>
      </c>
      <c r="I161" s="1">
        <v>11</v>
      </c>
      <c r="J161" t="s">
        <v>35</v>
      </c>
    </row>
    <row r="162" spans="1:10" x14ac:dyDescent="0.35">
      <c r="A162" t="s">
        <v>192</v>
      </c>
      <c r="B162" s="2">
        <v>43296</v>
      </c>
      <c r="C162" t="s">
        <v>30</v>
      </c>
      <c r="D162" t="s">
        <v>31</v>
      </c>
      <c r="E162" s="1">
        <v>23</v>
      </c>
      <c r="F162" s="1">
        <v>16</v>
      </c>
      <c r="G162" s="1">
        <v>368</v>
      </c>
      <c r="H162" s="1">
        <v>0.01</v>
      </c>
      <c r="I162" s="1">
        <v>4</v>
      </c>
      <c r="J162" t="s">
        <v>37</v>
      </c>
    </row>
    <row r="163" spans="1:10" x14ac:dyDescent="0.35">
      <c r="A163" t="s">
        <v>193</v>
      </c>
      <c r="B163" s="2">
        <v>43296</v>
      </c>
      <c r="C163" t="s">
        <v>19</v>
      </c>
      <c r="D163" t="s">
        <v>16</v>
      </c>
      <c r="E163" s="1">
        <v>12</v>
      </c>
      <c r="F163" s="1">
        <v>230</v>
      </c>
      <c r="G163" s="1">
        <v>2760</v>
      </c>
      <c r="H163" s="1">
        <v>0.03</v>
      </c>
      <c r="I163" s="1">
        <v>83</v>
      </c>
      <c r="J163" t="s">
        <v>39</v>
      </c>
    </row>
    <row r="164" spans="1:10" x14ac:dyDescent="0.35">
      <c r="A164" t="s">
        <v>194</v>
      </c>
      <c r="B164" s="2">
        <v>43297</v>
      </c>
      <c r="C164" t="s">
        <v>19</v>
      </c>
      <c r="D164" t="s">
        <v>12</v>
      </c>
      <c r="E164" s="1">
        <v>7</v>
      </c>
      <c r="F164" s="1">
        <v>230</v>
      </c>
      <c r="G164" s="1">
        <v>1610</v>
      </c>
      <c r="H164" s="1">
        <v>0.08</v>
      </c>
      <c r="I164" s="1">
        <v>129</v>
      </c>
      <c r="J164" t="s">
        <v>41</v>
      </c>
    </row>
    <row r="165" spans="1:10" x14ac:dyDescent="0.35">
      <c r="A165" t="s">
        <v>195</v>
      </c>
      <c r="B165" s="2">
        <v>43297</v>
      </c>
      <c r="C165" t="s">
        <v>15</v>
      </c>
      <c r="D165" t="s">
        <v>27</v>
      </c>
      <c r="E165" s="1">
        <v>11</v>
      </c>
      <c r="F165" s="1">
        <v>40</v>
      </c>
      <c r="G165" s="1">
        <v>440</v>
      </c>
      <c r="H165" s="1">
        <v>0.06</v>
      </c>
      <c r="I165" s="1">
        <v>26</v>
      </c>
      <c r="J165" t="s">
        <v>43</v>
      </c>
    </row>
    <row r="166" spans="1:10" x14ac:dyDescent="0.35">
      <c r="A166" t="s">
        <v>196</v>
      </c>
      <c r="B166" s="2">
        <v>43297</v>
      </c>
      <c r="C166" t="s">
        <v>19</v>
      </c>
      <c r="D166" t="s">
        <v>16</v>
      </c>
      <c r="E166" s="1">
        <v>7</v>
      </c>
      <c r="F166" s="1">
        <v>230</v>
      </c>
      <c r="G166" s="1">
        <v>1610</v>
      </c>
      <c r="H166" s="1">
        <v>0.08</v>
      </c>
      <c r="I166" s="1">
        <v>129</v>
      </c>
      <c r="J166" t="s">
        <v>13</v>
      </c>
    </row>
    <row r="167" spans="1:10" x14ac:dyDescent="0.35">
      <c r="A167" t="s">
        <v>197</v>
      </c>
      <c r="B167" s="2">
        <v>43297</v>
      </c>
      <c r="C167" t="s">
        <v>11</v>
      </c>
      <c r="D167" t="s">
        <v>12</v>
      </c>
      <c r="E167" s="1">
        <v>8</v>
      </c>
      <c r="F167" s="1">
        <v>80</v>
      </c>
      <c r="G167" s="1">
        <v>640</v>
      </c>
      <c r="H167" s="1">
        <v>0.09</v>
      </c>
      <c r="I167" s="1">
        <v>58</v>
      </c>
      <c r="J167" t="s">
        <v>17</v>
      </c>
    </row>
    <row r="168" spans="1:10" x14ac:dyDescent="0.35">
      <c r="A168" t="s">
        <v>198</v>
      </c>
      <c r="B168" s="2">
        <v>43297</v>
      </c>
      <c r="C168" t="s">
        <v>11</v>
      </c>
      <c r="D168" t="s">
        <v>27</v>
      </c>
      <c r="E168" s="1">
        <v>16</v>
      </c>
      <c r="F168" s="1">
        <v>80</v>
      </c>
      <c r="G168" s="1">
        <v>1280</v>
      </c>
      <c r="H168" s="1">
        <v>7.0000000000000007E-2</v>
      </c>
      <c r="I168" s="1">
        <v>90</v>
      </c>
      <c r="J168" t="s">
        <v>20</v>
      </c>
    </row>
    <row r="169" spans="1:10" x14ac:dyDescent="0.35">
      <c r="A169" t="s">
        <v>199</v>
      </c>
      <c r="B169" s="2">
        <v>43297</v>
      </c>
      <c r="C169" t="s">
        <v>11</v>
      </c>
      <c r="D169" t="s">
        <v>24</v>
      </c>
      <c r="E169" s="1">
        <v>16</v>
      </c>
      <c r="F169" s="1">
        <v>80</v>
      </c>
      <c r="G169" s="1">
        <v>1280</v>
      </c>
      <c r="H169" s="1">
        <v>0.04</v>
      </c>
      <c r="I169" s="1">
        <v>51</v>
      </c>
      <c r="J169" t="s">
        <v>22</v>
      </c>
    </row>
    <row r="170" spans="1:10" x14ac:dyDescent="0.35">
      <c r="A170" t="s">
        <v>200</v>
      </c>
      <c r="B170" s="2">
        <v>43297</v>
      </c>
      <c r="C170" t="s">
        <v>30</v>
      </c>
      <c r="D170" t="s">
        <v>24</v>
      </c>
      <c r="E170" s="1">
        <v>9</v>
      </c>
      <c r="F170" s="1">
        <v>16</v>
      </c>
      <c r="G170" s="1">
        <v>144</v>
      </c>
      <c r="H170" s="1">
        <v>0.05</v>
      </c>
      <c r="I170" s="1">
        <v>7</v>
      </c>
      <c r="J170" t="s">
        <v>25</v>
      </c>
    </row>
    <row r="171" spans="1:10" x14ac:dyDescent="0.35">
      <c r="A171" t="s">
        <v>201</v>
      </c>
      <c r="B171" s="2">
        <v>43297</v>
      </c>
      <c r="C171" t="s">
        <v>34</v>
      </c>
      <c r="D171" t="s">
        <v>31</v>
      </c>
      <c r="E171" s="1">
        <v>11</v>
      </c>
      <c r="F171" s="1">
        <v>150</v>
      </c>
      <c r="G171" s="1">
        <v>1650</v>
      </c>
      <c r="H171" s="1">
        <v>0.09</v>
      </c>
      <c r="I171" s="1">
        <v>148</v>
      </c>
      <c r="J171" t="s">
        <v>28</v>
      </c>
    </row>
    <row r="172" spans="1:10" x14ac:dyDescent="0.35">
      <c r="A172" t="s">
        <v>202</v>
      </c>
      <c r="B172" s="2">
        <v>43297</v>
      </c>
      <c r="C172" t="s">
        <v>30</v>
      </c>
      <c r="D172" t="s">
        <v>12</v>
      </c>
      <c r="E172" s="1">
        <v>4</v>
      </c>
      <c r="F172" s="1">
        <v>16</v>
      </c>
      <c r="G172" s="1">
        <v>64</v>
      </c>
      <c r="H172" s="1">
        <v>0.12</v>
      </c>
      <c r="I172" s="1">
        <v>8</v>
      </c>
      <c r="J172" t="s">
        <v>32</v>
      </c>
    </row>
    <row r="173" spans="1:10" x14ac:dyDescent="0.35">
      <c r="A173" t="s">
        <v>203</v>
      </c>
      <c r="B173" s="2">
        <v>43297</v>
      </c>
      <c r="C173" t="s">
        <v>15</v>
      </c>
      <c r="D173" t="s">
        <v>27</v>
      </c>
      <c r="E173" s="1">
        <v>15</v>
      </c>
      <c r="F173" s="1">
        <v>40</v>
      </c>
      <c r="G173" s="1">
        <v>600</v>
      </c>
      <c r="H173" s="1">
        <v>0.03</v>
      </c>
      <c r="I173" s="1">
        <v>18</v>
      </c>
      <c r="J173" t="s">
        <v>35</v>
      </c>
    </row>
    <row r="174" spans="1:10" x14ac:dyDescent="0.35">
      <c r="A174" t="s">
        <v>204</v>
      </c>
      <c r="B174" s="2">
        <v>43297</v>
      </c>
      <c r="C174" t="s">
        <v>15</v>
      </c>
      <c r="D174" t="s">
        <v>31</v>
      </c>
      <c r="E174" s="1">
        <v>20</v>
      </c>
      <c r="F174" s="1">
        <v>40</v>
      </c>
      <c r="G174" s="1">
        <v>800</v>
      </c>
      <c r="H174" s="1">
        <v>0.03</v>
      </c>
      <c r="I174" s="1">
        <v>24</v>
      </c>
      <c r="J174" t="s">
        <v>37</v>
      </c>
    </row>
    <row r="175" spans="1:10" x14ac:dyDescent="0.35">
      <c r="A175" t="s">
        <v>205</v>
      </c>
      <c r="B175" s="2">
        <v>43298</v>
      </c>
      <c r="C175" t="s">
        <v>34</v>
      </c>
      <c r="D175" t="s">
        <v>24</v>
      </c>
      <c r="E175" s="1">
        <v>9</v>
      </c>
      <c r="F175" s="1">
        <v>150</v>
      </c>
      <c r="G175" s="1">
        <v>1350</v>
      </c>
      <c r="H175" s="1">
        <v>0.06</v>
      </c>
      <c r="I175" s="1">
        <v>81</v>
      </c>
      <c r="J175" t="s">
        <v>39</v>
      </c>
    </row>
    <row r="176" spans="1:10" x14ac:dyDescent="0.35">
      <c r="A176" t="s">
        <v>206</v>
      </c>
      <c r="B176" s="2">
        <v>43298</v>
      </c>
      <c r="C176" t="s">
        <v>15</v>
      </c>
      <c r="D176" t="s">
        <v>16</v>
      </c>
      <c r="E176" s="1">
        <v>23</v>
      </c>
      <c r="F176" s="1">
        <v>40</v>
      </c>
      <c r="G176" s="1">
        <v>920</v>
      </c>
      <c r="H176" s="1">
        <v>0.06</v>
      </c>
      <c r="I176" s="1">
        <v>55</v>
      </c>
      <c r="J176" t="s">
        <v>41</v>
      </c>
    </row>
    <row r="177" spans="1:10" x14ac:dyDescent="0.35">
      <c r="A177" t="s">
        <v>207</v>
      </c>
      <c r="B177" s="2">
        <v>43298</v>
      </c>
      <c r="C177" t="s">
        <v>11</v>
      </c>
      <c r="D177" t="s">
        <v>31</v>
      </c>
      <c r="E177" s="1">
        <v>13</v>
      </c>
      <c r="F177" s="1">
        <v>80</v>
      </c>
      <c r="G177" s="1">
        <v>1040</v>
      </c>
      <c r="H177" s="1">
        <v>0.05</v>
      </c>
      <c r="I177" s="1">
        <v>52</v>
      </c>
      <c r="J177" t="s">
        <v>43</v>
      </c>
    </row>
    <row r="178" spans="1:10" x14ac:dyDescent="0.35">
      <c r="A178" t="s">
        <v>208</v>
      </c>
      <c r="B178" s="2">
        <v>43298</v>
      </c>
      <c r="C178" t="s">
        <v>30</v>
      </c>
      <c r="D178" t="s">
        <v>12</v>
      </c>
      <c r="E178" s="1">
        <v>22</v>
      </c>
      <c r="F178" s="1">
        <v>16</v>
      </c>
      <c r="G178" s="1">
        <v>352</v>
      </c>
      <c r="H178" s="1">
        <v>0.01</v>
      </c>
      <c r="I178" s="1">
        <v>4</v>
      </c>
      <c r="J178" t="s">
        <v>13</v>
      </c>
    </row>
    <row r="179" spans="1:10" x14ac:dyDescent="0.35">
      <c r="A179" t="s">
        <v>209</v>
      </c>
      <c r="B179" s="2">
        <v>43298</v>
      </c>
      <c r="C179" t="s">
        <v>15</v>
      </c>
      <c r="D179" t="s">
        <v>12</v>
      </c>
      <c r="E179" s="1">
        <v>19</v>
      </c>
      <c r="F179" s="1">
        <v>40</v>
      </c>
      <c r="G179" s="1">
        <v>760</v>
      </c>
      <c r="H179" s="1">
        <v>0.04</v>
      </c>
      <c r="I179" s="1">
        <v>30</v>
      </c>
      <c r="J179" t="s">
        <v>17</v>
      </c>
    </row>
    <row r="180" spans="1:10" x14ac:dyDescent="0.35">
      <c r="A180" t="s">
        <v>210</v>
      </c>
      <c r="B180" s="2">
        <v>43298</v>
      </c>
      <c r="C180" t="s">
        <v>11</v>
      </c>
      <c r="D180" t="s">
        <v>27</v>
      </c>
      <c r="E180" s="1">
        <v>4</v>
      </c>
      <c r="F180" s="1">
        <v>80</v>
      </c>
      <c r="G180" s="1">
        <v>320</v>
      </c>
      <c r="H180" s="1">
        <v>0.11</v>
      </c>
      <c r="I180" s="1">
        <v>35</v>
      </c>
      <c r="J180" t="s">
        <v>20</v>
      </c>
    </row>
    <row r="181" spans="1:10" x14ac:dyDescent="0.35">
      <c r="A181" t="s">
        <v>211</v>
      </c>
      <c r="B181" s="2">
        <v>43298</v>
      </c>
      <c r="C181" t="s">
        <v>30</v>
      </c>
      <c r="D181" t="s">
        <v>12</v>
      </c>
      <c r="E181" s="1">
        <v>12</v>
      </c>
      <c r="F181" s="1">
        <v>16</v>
      </c>
      <c r="G181" s="1">
        <v>192</v>
      </c>
      <c r="H181" s="1">
        <v>0.11</v>
      </c>
      <c r="I181" s="1">
        <v>21</v>
      </c>
      <c r="J181" t="s">
        <v>22</v>
      </c>
    </row>
    <row r="182" spans="1:10" x14ac:dyDescent="0.35">
      <c r="A182" t="s">
        <v>212</v>
      </c>
      <c r="B182" s="2">
        <v>43298</v>
      </c>
      <c r="C182" t="s">
        <v>34</v>
      </c>
      <c r="D182" t="s">
        <v>16</v>
      </c>
      <c r="E182" s="1">
        <v>16</v>
      </c>
      <c r="F182" s="1">
        <v>150</v>
      </c>
      <c r="G182" s="1">
        <v>2400</v>
      </c>
      <c r="H182" s="1">
        <v>0.08</v>
      </c>
      <c r="I182" s="1">
        <v>192</v>
      </c>
      <c r="J182" t="s">
        <v>25</v>
      </c>
    </row>
    <row r="183" spans="1:10" x14ac:dyDescent="0.35">
      <c r="A183" t="s">
        <v>213</v>
      </c>
      <c r="B183" s="2">
        <v>43298</v>
      </c>
      <c r="C183" t="s">
        <v>11</v>
      </c>
      <c r="D183" t="s">
        <v>12</v>
      </c>
      <c r="E183" s="1">
        <v>7</v>
      </c>
      <c r="F183" s="1">
        <v>80</v>
      </c>
      <c r="G183" s="1">
        <v>560</v>
      </c>
      <c r="H183" s="1">
        <v>0.02</v>
      </c>
      <c r="I183" s="1">
        <v>11</v>
      </c>
      <c r="J183" t="s">
        <v>28</v>
      </c>
    </row>
    <row r="184" spans="1:10" x14ac:dyDescent="0.35">
      <c r="A184" t="s">
        <v>214</v>
      </c>
      <c r="B184" s="2">
        <v>43298</v>
      </c>
      <c r="C184" t="s">
        <v>15</v>
      </c>
      <c r="D184" t="s">
        <v>31</v>
      </c>
      <c r="E184" s="1">
        <v>20</v>
      </c>
      <c r="F184" s="1">
        <v>40</v>
      </c>
      <c r="G184" s="1">
        <v>800</v>
      </c>
      <c r="H184" s="1">
        <v>7.0000000000000007E-2</v>
      </c>
      <c r="I184" s="1">
        <v>56</v>
      </c>
      <c r="J184" t="s">
        <v>32</v>
      </c>
    </row>
    <row r="185" spans="1:10" x14ac:dyDescent="0.35">
      <c r="A185" t="s">
        <v>215</v>
      </c>
      <c r="B185" s="2">
        <v>43298</v>
      </c>
      <c r="C185" t="s">
        <v>11</v>
      </c>
      <c r="D185" t="s">
        <v>16</v>
      </c>
      <c r="E185" s="1">
        <v>15</v>
      </c>
      <c r="F185" s="1">
        <v>80</v>
      </c>
      <c r="G185" s="1">
        <v>1200</v>
      </c>
      <c r="H185" s="1">
        <v>0.12</v>
      </c>
      <c r="I185" s="1">
        <v>144</v>
      </c>
      <c r="J185" t="s">
        <v>35</v>
      </c>
    </row>
    <row r="186" spans="1:10" x14ac:dyDescent="0.35">
      <c r="A186" t="s">
        <v>216</v>
      </c>
      <c r="B186" s="2">
        <v>43298</v>
      </c>
      <c r="C186" t="s">
        <v>15</v>
      </c>
      <c r="D186" t="s">
        <v>12</v>
      </c>
      <c r="E186" s="1">
        <v>5</v>
      </c>
      <c r="F186" s="1">
        <v>40</v>
      </c>
      <c r="G186" s="1">
        <v>200</v>
      </c>
      <c r="H186" s="1">
        <v>0.09</v>
      </c>
      <c r="I186" s="1">
        <v>18</v>
      </c>
      <c r="J186" t="s">
        <v>37</v>
      </c>
    </row>
    <row r="187" spans="1:10" x14ac:dyDescent="0.35">
      <c r="A187" t="s">
        <v>217</v>
      </c>
      <c r="B187" s="2">
        <v>43298</v>
      </c>
      <c r="C187" t="s">
        <v>30</v>
      </c>
      <c r="D187" t="s">
        <v>31</v>
      </c>
      <c r="E187" s="1">
        <v>12</v>
      </c>
      <c r="F187" s="1">
        <v>16</v>
      </c>
      <c r="G187" s="1">
        <v>192</v>
      </c>
      <c r="H187" s="1">
        <v>0.04</v>
      </c>
      <c r="I187" s="1">
        <v>8</v>
      </c>
      <c r="J187" t="s">
        <v>39</v>
      </c>
    </row>
    <row r="188" spans="1:10" x14ac:dyDescent="0.35">
      <c r="A188" t="s">
        <v>218</v>
      </c>
      <c r="B188" s="2">
        <v>43299</v>
      </c>
      <c r="C188" t="s">
        <v>34</v>
      </c>
      <c r="D188" t="s">
        <v>27</v>
      </c>
      <c r="E188" s="1">
        <v>3</v>
      </c>
      <c r="F188" s="1">
        <v>150</v>
      </c>
      <c r="G188" s="1">
        <v>450</v>
      </c>
      <c r="H188" s="1">
        <v>0.01</v>
      </c>
      <c r="I188" s="1">
        <v>4</v>
      </c>
      <c r="J188" t="s">
        <v>41</v>
      </c>
    </row>
    <row r="189" spans="1:10" x14ac:dyDescent="0.35">
      <c r="A189" t="s">
        <v>219</v>
      </c>
      <c r="B189" s="2">
        <v>43299</v>
      </c>
      <c r="C189" t="s">
        <v>15</v>
      </c>
      <c r="D189" t="s">
        <v>31</v>
      </c>
      <c r="E189" s="1">
        <v>7</v>
      </c>
      <c r="F189" s="1">
        <v>40</v>
      </c>
      <c r="G189" s="1">
        <v>280</v>
      </c>
      <c r="H189" s="1">
        <v>0.12</v>
      </c>
      <c r="I189" s="1">
        <v>34</v>
      </c>
      <c r="J189" t="s">
        <v>43</v>
      </c>
    </row>
    <row r="190" spans="1:10" x14ac:dyDescent="0.35">
      <c r="A190" t="s">
        <v>220</v>
      </c>
      <c r="B190" s="2">
        <v>43299</v>
      </c>
      <c r="C190" t="s">
        <v>11</v>
      </c>
      <c r="D190" t="s">
        <v>16</v>
      </c>
      <c r="E190" s="1">
        <v>2</v>
      </c>
      <c r="F190" s="1">
        <v>80</v>
      </c>
      <c r="G190" s="1">
        <v>160</v>
      </c>
      <c r="H190" s="1">
        <v>0.04</v>
      </c>
      <c r="I190" s="1">
        <v>6</v>
      </c>
      <c r="J190" t="s">
        <v>13</v>
      </c>
    </row>
    <row r="191" spans="1:10" x14ac:dyDescent="0.35">
      <c r="A191" t="s">
        <v>221</v>
      </c>
      <c r="B191" s="2">
        <v>43299</v>
      </c>
      <c r="C191" t="s">
        <v>15</v>
      </c>
      <c r="D191" t="s">
        <v>27</v>
      </c>
      <c r="E191" s="1">
        <v>6</v>
      </c>
      <c r="F191" s="1">
        <v>40</v>
      </c>
      <c r="G191" s="1">
        <v>240</v>
      </c>
      <c r="H191" s="1">
        <v>7.0000000000000007E-2</v>
      </c>
      <c r="I191" s="1">
        <v>17</v>
      </c>
      <c r="J191" t="s">
        <v>17</v>
      </c>
    </row>
    <row r="192" spans="1:10" x14ac:dyDescent="0.35">
      <c r="A192" t="s">
        <v>222</v>
      </c>
      <c r="B192" s="2">
        <v>43299</v>
      </c>
      <c r="C192" t="s">
        <v>30</v>
      </c>
      <c r="D192" t="s">
        <v>24</v>
      </c>
      <c r="E192" s="1">
        <v>6</v>
      </c>
      <c r="F192" s="1">
        <v>16</v>
      </c>
      <c r="G192" s="1">
        <v>96</v>
      </c>
      <c r="H192" s="1">
        <v>0.06</v>
      </c>
      <c r="I192" s="1">
        <v>6</v>
      </c>
      <c r="J192" t="s">
        <v>20</v>
      </c>
    </row>
    <row r="193" spans="1:10" x14ac:dyDescent="0.35">
      <c r="A193" t="s">
        <v>223</v>
      </c>
      <c r="B193" s="2">
        <v>43299</v>
      </c>
      <c r="C193" t="s">
        <v>30</v>
      </c>
      <c r="D193" t="s">
        <v>12</v>
      </c>
      <c r="E193" s="1">
        <v>7</v>
      </c>
      <c r="F193" s="1">
        <v>16</v>
      </c>
      <c r="G193" s="1">
        <v>112</v>
      </c>
      <c r="H193" s="1">
        <v>0.02</v>
      </c>
      <c r="I193" s="1">
        <v>2</v>
      </c>
      <c r="J193" t="s">
        <v>22</v>
      </c>
    </row>
    <row r="194" spans="1:10" x14ac:dyDescent="0.35">
      <c r="A194" t="s">
        <v>224</v>
      </c>
      <c r="B194" s="2">
        <v>43299</v>
      </c>
      <c r="C194" t="s">
        <v>30</v>
      </c>
      <c r="D194" t="s">
        <v>16</v>
      </c>
      <c r="E194" s="1">
        <v>20</v>
      </c>
      <c r="F194" s="1">
        <v>16</v>
      </c>
      <c r="G194" s="1">
        <v>320</v>
      </c>
      <c r="H194" s="1">
        <v>0.06</v>
      </c>
      <c r="I194" s="1">
        <v>19</v>
      </c>
      <c r="J194" t="s">
        <v>25</v>
      </c>
    </row>
    <row r="195" spans="1:10" x14ac:dyDescent="0.35">
      <c r="A195" t="s">
        <v>225</v>
      </c>
      <c r="B195" s="2">
        <v>43299</v>
      </c>
      <c r="C195" t="s">
        <v>30</v>
      </c>
      <c r="D195" t="s">
        <v>16</v>
      </c>
      <c r="E195" s="1">
        <v>21</v>
      </c>
      <c r="F195" s="1">
        <v>16</v>
      </c>
      <c r="G195" s="1">
        <v>336</v>
      </c>
      <c r="H195" s="1">
        <v>0.02</v>
      </c>
      <c r="I195" s="1">
        <v>7</v>
      </c>
      <c r="J195" t="s">
        <v>28</v>
      </c>
    </row>
    <row r="196" spans="1:10" x14ac:dyDescent="0.35">
      <c r="A196" t="s">
        <v>226</v>
      </c>
      <c r="B196" s="2">
        <v>43299</v>
      </c>
      <c r="C196" t="s">
        <v>11</v>
      </c>
      <c r="D196" t="s">
        <v>27</v>
      </c>
      <c r="E196" s="1">
        <v>21</v>
      </c>
      <c r="F196" s="1">
        <v>80</v>
      </c>
      <c r="G196" s="1">
        <v>1680</v>
      </c>
      <c r="H196" s="1">
        <v>0.05</v>
      </c>
      <c r="I196" s="1">
        <v>84</v>
      </c>
      <c r="J196" t="s">
        <v>32</v>
      </c>
    </row>
    <row r="197" spans="1:10" x14ac:dyDescent="0.35">
      <c r="A197" t="s">
        <v>227</v>
      </c>
      <c r="B197" s="2">
        <v>43299</v>
      </c>
      <c r="C197" t="s">
        <v>30</v>
      </c>
      <c r="D197" t="s">
        <v>27</v>
      </c>
      <c r="E197" s="1">
        <v>10</v>
      </c>
      <c r="F197" s="1">
        <v>16</v>
      </c>
      <c r="G197" s="1">
        <v>160</v>
      </c>
      <c r="H197" s="1">
        <v>0.01</v>
      </c>
      <c r="I197" s="1">
        <v>2</v>
      </c>
      <c r="J197" t="s">
        <v>35</v>
      </c>
    </row>
    <row r="198" spans="1:10" x14ac:dyDescent="0.35">
      <c r="A198" t="s">
        <v>228</v>
      </c>
      <c r="B198" s="2">
        <v>43300</v>
      </c>
      <c r="C198" t="s">
        <v>19</v>
      </c>
      <c r="D198" t="s">
        <v>27</v>
      </c>
      <c r="E198" s="1">
        <v>2</v>
      </c>
      <c r="F198" s="1">
        <v>230</v>
      </c>
      <c r="G198" s="1">
        <v>460</v>
      </c>
      <c r="H198" s="1">
        <v>0.09</v>
      </c>
      <c r="I198" s="1">
        <v>41</v>
      </c>
      <c r="J198" t="s">
        <v>37</v>
      </c>
    </row>
    <row r="199" spans="1:10" x14ac:dyDescent="0.35">
      <c r="A199" t="s">
        <v>229</v>
      </c>
      <c r="B199" s="2">
        <v>43300</v>
      </c>
      <c r="C199" t="s">
        <v>34</v>
      </c>
      <c r="D199" t="s">
        <v>12</v>
      </c>
      <c r="E199" s="1">
        <v>20</v>
      </c>
      <c r="F199" s="1">
        <v>150</v>
      </c>
      <c r="G199" s="1">
        <v>3000</v>
      </c>
      <c r="H199" s="1">
        <v>0.03</v>
      </c>
      <c r="I199" s="1">
        <v>90</v>
      </c>
      <c r="J199" t="s">
        <v>39</v>
      </c>
    </row>
    <row r="200" spans="1:10" x14ac:dyDescent="0.35">
      <c r="A200" t="s">
        <v>230</v>
      </c>
      <c r="B200" s="2">
        <v>43300</v>
      </c>
      <c r="C200" t="s">
        <v>15</v>
      </c>
      <c r="D200" t="s">
        <v>12</v>
      </c>
      <c r="E200" s="1">
        <v>23</v>
      </c>
      <c r="F200" s="1">
        <v>40</v>
      </c>
      <c r="G200" s="1">
        <v>920</v>
      </c>
      <c r="H200" s="1">
        <v>0.03</v>
      </c>
      <c r="I200" s="1">
        <v>28</v>
      </c>
      <c r="J200" t="s">
        <v>41</v>
      </c>
    </row>
    <row r="201" spans="1:10" x14ac:dyDescent="0.35">
      <c r="A201" t="s">
        <v>231</v>
      </c>
      <c r="B201" s="2">
        <v>43300</v>
      </c>
      <c r="C201" t="s">
        <v>11</v>
      </c>
      <c r="D201" t="s">
        <v>27</v>
      </c>
      <c r="E201" s="1">
        <v>17</v>
      </c>
      <c r="F201" s="1">
        <v>80</v>
      </c>
      <c r="G201" s="1">
        <v>1360</v>
      </c>
      <c r="H201" s="1">
        <v>0.05</v>
      </c>
      <c r="I201" s="1">
        <v>68</v>
      </c>
      <c r="J201" t="s">
        <v>43</v>
      </c>
    </row>
    <row r="202" spans="1:10" x14ac:dyDescent="0.35">
      <c r="A202" t="s">
        <v>232</v>
      </c>
      <c r="B202" s="2">
        <v>43300</v>
      </c>
      <c r="C202" t="s">
        <v>19</v>
      </c>
      <c r="D202" t="s">
        <v>27</v>
      </c>
      <c r="E202" s="1">
        <v>11</v>
      </c>
      <c r="F202" s="1">
        <v>230</v>
      </c>
      <c r="G202" s="1">
        <v>2530</v>
      </c>
      <c r="H202" s="1">
        <v>0.12</v>
      </c>
      <c r="I202" s="1">
        <v>304</v>
      </c>
      <c r="J202" t="s">
        <v>13</v>
      </c>
    </row>
    <row r="203" spans="1:10" x14ac:dyDescent="0.35">
      <c r="A203" t="s">
        <v>233</v>
      </c>
      <c r="B203" s="2">
        <v>43300</v>
      </c>
      <c r="C203" t="s">
        <v>34</v>
      </c>
      <c r="D203" t="s">
        <v>16</v>
      </c>
      <c r="E203" s="1">
        <v>10</v>
      </c>
      <c r="F203" s="1">
        <v>150</v>
      </c>
      <c r="G203" s="1">
        <v>1500</v>
      </c>
      <c r="H203" s="1">
        <v>0.01</v>
      </c>
      <c r="I203" s="1">
        <v>15</v>
      </c>
      <c r="J203" t="s">
        <v>17</v>
      </c>
    </row>
    <row r="204" spans="1:10" x14ac:dyDescent="0.35">
      <c r="A204" t="s">
        <v>234</v>
      </c>
      <c r="B204" s="2">
        <v>43300</v>
      </c>
      <c r="C204" t="s">
        <v>11</v>
      </c>
      <c r="D204" t="s">
        <v>16</v>
      </c>
      <c r="E204" s="1">
        <v>17</v>
      </c>
      <c r="F204" s="1">
        <v>80</v>
      </c>
      <c r="G204" s="1">
        <v>1360</v>
      </c>
      <c r="H204" s="1">
        <v>0.03</v>
      </c>
      <c r="I204" s="1">
        <v>41</v>
      </c>
      <c r="J204" t="s">
        <v>20</v>
      </c>
    </row>
    <row r="205" spans="1:10" x14ac:dyDescent="0.35">
      <c r="A205" t="s">
        <v>235</v>
      </c>
      <c r="B205" s="2">
        <v>43301</v>
      </c>
      <c r="C205" t="s">
        <v>19</v>
      </c>
      <c r="D205" t="s">
        <v>12</v>
      </c>
      <c r="E205" s="1">
        <v>9</v>
      </c>
      <c r="F205" s="1">
        <v>230</v>
      </c>
      <c r="G205" s="1">
        <v>2070</v>
      </c>
      <c r="H205" s="1">
        <v>7.0000000000000007E-2</v>
      </c>
      <c r="I205" s="1">
        <v>145</v>
      </c>
      <c r="J205" t="s">
        <v>22</v>
      </c>
    </row>
    <row r="206" spans="1:10" x14ac:dyDescent="0.35">
      <c r="A206" t="s">
        <v>236</v>
      </c>
      <c r="B206" s="2">
        <v>43301</v>
      </c>
      <c r="C206" t="s">
        <v>19</v>
      </c>
      <c r="D206" t="s">
        <v>12</v>
      </c>
      <c r="E206" s="1">
        <v>11</v>
      </c>
      <c r="F206" s="1">
        <v>230</v>
      </c>
      <c r="G206" s="1">
        <v>2530</v>
      </c>
      <c r="H206" s="1">
        <v>0.02</v>
      </c>
      <c r="I206" s="1">
        <v>51</v>
      </c>
      <c r="J206" t="s">
        <v>25</v>
      </c>
    </row>
    <row r="207" spans="1:10" x14ac:dyDescent="0.35">
      <c r="A207" t="s">
        <v>237</v>
      </c>
      <c r="B207" s="2">
        <v>43301</v>
      </c>
      <c r="C207" t="s">
        <v>15</v>
      </c>
      <c r="D207" t="s">
        <v>24</v>
      </c>
      <c r="E207" s="1">
        <v>2</v>
      </c>
      <c r="F207" s="1">
        <v>40</v>
      </c>
      <c r="G207" s="1">
        <v>80</v>
      </c>
      <c r="H207" s="1">
        <v>0.02</v>
      </c>
      <c r="I207" s="1">
        <v>2</v>
      </c>
      <c r="J207" t="s">
        <v>28</v>
      </c>
    </row>
    <row r="208" spans="1:10" x14ac:dyDescent="0.35">
      <c r="A208" t="s">
        <v>238</v>
      </c>
      <c r="B208" s="2">
        <v>43301</v>
      </c>
      <c r="C208" t="s">
        <v>19</v>
      </c>
      <c r="D208" t="s">
        <v>31</v>
      </c>
      <c r="E208" s="1">
        <v>3</v>
      </c>
      <c r="F208" s="1">
        <v>230</v>
      </c>
      <c r="G208" s="1">
        <v>690</v>
      </c>
      <c r="H208" s="1">
        <v>0.1</v>
      </c>
      <c r="I208" s="1">
        <v>69</v>
      </c>
      <c r="J208" t="s">
        <v>32</v>
      </c>
    </row>
    <row r="209" spans="1:10" x14ac:dyDescent="0.35">
      <c r="A209" t="s">
        <v>239</v>
      </c>
      <c r="B209" s="2">
        <v>43301</v>
      </c>
      <c r="C209" t="s">
        <v>15</v>
      </c>
      <c r="D209" t="s">
        <v>31</v>
      </c>
      <c r="E209" s="1">
        <v>7</v>
      </c>
      <c r="F209" s="1">
        <v>40</v>
      </c>
      <c r="G209" s="1">
        <v>280</v>
      </c>
      <c r="H209" s="1">
        <v>0.05</v>
      </c>
      <c r="I209" s="1">
        <v>14</v>
      </c>
      <c r="J209" t="s">
        <v>35</v>
      </c>
    </row>
    <row r="210" spans="1:10" x14ac:dyDescent="0.35">
      <c r="A210" t="s">
        <v>240</v>
      </c>
      <c r="B210" s="2">
        <v>43301</v>
      </c>
      <c r="C210" t="s">
        <v>34</v>
      </c>
      <c r="D210" t="s">
        <v>16</v>
      </c>
      <c r="E210" s="1">
        <v>20</v>
      </c>
      <c r="F210" s="1">
        <v>150</v>
      </c>
      <c r="G210" s="1">
        <v>3000</v>
      </c>
      <c r="H210" s="1">
        <v>0.09</v>
      </c>
      <c r="I210" s="1">
        <v>270</v>
      </c>
      <c r="J210" t="s">
        <v>37</v>
      </c>
    </row>
    <row r="211" spans="1:10" x14ac:dyDescent="0.35">
      <c r="A211" t="s">
        <v>241</v>
      </c>
      <c r="B211" s="2">
        <v>43301</v>
      </c>
      <c r="C211" t="s">
        <v>15</v>
      </c>
      <c r="D211" t="s">
        <v>24</v>
      </c>
      <c r="E211" s="1">
        <v>4</v>
      </c>
      <c r="F211" s="1">
        <v>40</v>
      </c>
      <c r="G211" s="1">
        <v>160</v>
      </c>
      <c r="H211" s="1">
        <v>0.11</v>
      </c>
      <c r="I211" s="1">
        <v>18</v>
      </c>
      <c r="J211" t="s">
        <v>39</v>
      </c>
    </row>
    <row r="212" spans="1:10" x14ac:dyDescent="0.35">
      <c r="A212" t="s">
        <v>242</v>
      </c>
      <c r="B212" s="2">
        <v>43302</v>
      </c>
      <c r="C212" t="s">
        <v>19</v>
      </c>
      <c r="D212" t="s">
        <v>24</v>
      </c>
      <c r="E212" s="1">
        <v>2</v>
      </c>
      <c r="F212" s="1">
        <v>230</v>
      </c>
      <c r="G212" s="1">
        <v>460</v>
      </c>
      <c r="H212" s="1">
        <v>0.09</v>
      </c>
      <c r="I212" s="1">
        <v>41</v>
      </c>
      <c r="J212" t="s">
        <v>13</v>
      </c>
    </row>
    <row r="213" spans="1:10" x14ac:dyDescent="0.35">
      <c r="A213" t="s">
        <v>243</v>
      </c>
      <c r="B213" s="2">
        <v>43302</v>
      </c>
      <c r="C213" t="s">
        <v>15</v>
      </c>
      <c r="D213" t="s">
        <v>16</v>
      </c>
      <c r="E213" s="1">
        <v>7</v>
      </c>
      <c r="F213" s="1">
        <v>40</v>
      </c>
      <c r="G213" s="1">
        <v>280</v>
      </c>
      <c r="H213" s="1">
        <v>0.01</v>
      </c>
      <c r="I213" s="1">
        <v>3</v>
      </c>
      <c r="J213" t="s">
        <v>17</v>
      </c>
    </row>
    <row r="214" spans="1:10" x14ac:dyDescent="0.35">
      <c r="A214" t="s">
        <v>244</v>
      </c>
      <c r="B214" s="2">
        <v>43302</v>
      </c>
      <c r="C214" t="s">
        <v>15</v>
      </c>
      <c r="D214" t="s">
        <v>12</v>
      </c>
      <c r="E214" s="1">
        <v>2</v>
      </c>
      <c r="F214" s="1">
        <v>40</v>
      </c>
      <c r="G214" s="1">
        <v>80</v>
      </c>
      <c r="H214" s="1">
        <v>0.12</v>
      </c>
      <c r="I214" s="1">
        <v>10</v>
      </c>
      <c r="J214" t="s">
        <v>20</v>
      </c>
    </row>
    <row r="215" spans="1:10" x14ac:dyDescent="0.35">
      <c r="A215" t="s">
        <v>245</v>
      </c>
      <c r="B215" s="2">
        <v>43302</v>
      </c>
      <c r="C215" t="s">
        <v>11</v>
      </c>
      <c r="D215" t="s">
        <v>16</v>
      </c>
      <c r="E215" s="1">
        <v>3</v>
      </c>
      <c r="F215" s="1">
        <v>80</v>
      </c>
      <c r="G215" s="1">
        <v>240</v>
      </c>
      <c r="H215" s="1">
        <v>0.02</v>
      </c>
      <c r="I215" s="1">
        <v>5</v>
      </c>
      <c r="J215" t="s">
        <v>22</v>
      </c>
    </row>
    <row r="216" spans="1:10" x14ac:dyDescent="0.35">
      <c r="A216" t="s">
        <v>246</v>
      </c>
      <c r="B216" s="2">
        <v>43302</v>
      </c>
      <c r="C216" t="s">
        <v>30</v>
      </c>
      <c r="D216" t="s">
        <v>12</v>
      </c>
      <c r="E216" s="1">
        <v>18</v>
      </c>
      <c r="F216" s="1">
        <v>16</v>
      </c>
      <c r="G216" s="1">
        <v>288</v>
      </c>
      <c r="H216" s="1">
        <v>0.11</v>
      </c>
      <c r="I216" s="1">
        <v>32</v>
      </c>
      <c r="J216" t="s">
        <v>25</v>
      </c>
    </row>
    <row r="217" spans="1:10" x14ac:dyDescent="0.35">
      <c r="A217" t="s">
        <v>247</v>
      </c>
      <c r="B217" s="2">
        <v>43302</v>
      </c>
      <c r="C217" t="s">
        <v>11</v>
      </c>
      <c r="D217" t="s">
        <v>16</v>
      </c>
      <c r="E217" s="1">
        <v>5</v>
      </c>
      <c r="F217" s="1">
        <v>80</v>
      </c>
      <c r="G217" s="1">
        <v>400</v>
      </c>
      <c r="H217" s="1">
        <v>7.0000000000000007E-2</v>
      </c>
      <c r="I217" s="1">
        <v>28</v>
      </c>
      <c r="J217" t="s">
        <v>28</v>
      </c>
    </row>
    <row r="218" spans="1:10" x14ac:dyDescent="0.35">
      <c r="A218" t="s">
        <v>248</v>
      </c>
      <c r="B218" s="2">
        <v>43302</v>
      </c>
      <c r="C218" t="s">
        <v>30</v>
      </c>
      <c r="D218" t="s">
        <v>24</v>
      </c>
      <c r="E218" s="1">
        <v>3</v>
      </c>
      <c r="F218" s="1">
        <v>16</v>
      </c>
      <c r="G218" s="1">
        <v>48</v>
      </c>
      <c r="H218" s="1">
        <v>0.05</v>
      </c>
      <c r="I218" s="1">
        <v>2</v>
      </c>
      <c r="J218" t="s">
        <v>32</v>
      </c>
    </row>
    <row r="219" spans="1:10" x14ac:dyDescent="0.35">
      <c r="A219" t="s">
        <v>249</v>
      </c>
      <c r="B219" s="2">
        <v>43302</v>
      </c>
      <c r="C219" t="s">
        <v>11</v>
      </c>
      <c r="D219" t="s">
        <v>27</v>
      </c>
      <c r="E219" s="1">
        <v>7</v>
      </c>
      <c r="F219" s="1">
        <v>80</v>
      </c>
      <c r="G219" s="1">
        <v>560</v>
      </c>
      <c r="H219" s="1">
        <v>0.02</v>
      </c>
      <c r="I219" s="1">
        <v>11</v>
      </c>
      <c r="J219" t="s">
        <v>35</v>
      </c>
    </row>
    <row r="220" spans="1:10" x14ac:dyDescent="0.35">
      <c r="A220" t="s">
        <v>250</v>
      </c>
      <c r="B220" s="2">
        <v>43302</v>
      </c>
      <c r="C220" t="s">
        <v>34</v>
      </c>
      <c r="D220" t="s">
        <v>27</v>
      </c>
      <c r="E220" s="1">
        <v>15</v>
      </c>
      <c r="F220" s="1">
        <v>150</v>
      </c>
      <c r="G220" s="1">
        <v>2250</v>
      </c>
      <c r="H220" s="1">
        <v>0.08</v>
      </c>
      <c r="I220" s="1">
        <v>180</v>
      </c>
      <c r="J220" t="s">
        <v>37</v>
      </c>
    </row>
    <row r="221" spans="1:10" x14ac:dyDescent="0.35">
      <c r="A221" t="s">
        <v>251</v>
      </c>
      <c r="B221" s="2">
        <v>43302</v>
      </c>
      <c r="C221" t="s">
        <v>11</v>
      </c>
      <c r="D221" t="s">
        <v>24</v>
      </c>
      <c r="E221" s="1">
        <v>10</v>
      </c>
      <c r="F221" s="1">
        <v>80</v>
      </c>
      <c r="G221" s="1">
        <v>800</v>
      </c>
      <c r="H221" s="1">
        <v>0.11</v>
      </c>
      <c r="I221" s="1">
        <v>88</v>
      </c>
      <c r="J221" t="s">
        <v>39</v>
      </c>
    </row>
    <row r="222" spans="1:10" x14ac:dyDescent="0.35">
      <c r="A222" t="s">
        <v>252</v>
      </c>
      <c r="B222" s="2">
        <v>43302</v>
      </c>
      <c r="C222" t="s">
        <v>19</v>
      </c>
      <c r="D222" t="s">
        <v>31</v>
      </c>
      <c r="E222" s="1">
        <v>13</v>
      </c>
      <c r="F222" s="1">
        <v>230</v>
      </c>
      <c r="G222" s="1">
        <v>2990</v>
      </c>
      <c r="H222" s="1">
        <v>0.06</v>
      </c>
      <c r="I222" s="1">
        <v>179</v>
      </c>
      <c r="J222" t="s">
        <v>41</v>
      </c>
    </row>
    <row r="223" spans="1:10" x14ac:dyDescent="0.35">
      <c r="A223" t="s">
        <v>253</v>
      </c>
      <c r="B223" s="2">
        <v>43302</v>
      </c>
      <c r="C223" t="s">
        <v>15</v>
      </c>
      <c r="D223" t="s">
        <v>12</v>
      </c>
      <c r="E223" s="1">
        <v>7</v>
      </c>
      <c r="F223" s="1">
        <v>40</v>
      </c>
      <c r="G223" s="1">
        <v>280</v>
      </c>
      <c r="H223" s="1">
        <v>0.1</v>
      </c>
      <c r="I223" s="1">
        <v>28</v>
      </c>
      <c r="J223" t="s">
        <v>43</v>
      </c>
    </row>
    <row r="224" spans="1:10" x14ac:dyDescent="0.35">
      <c r="A224" t="s">
        <v>254</v>
      </c>
      <c r="B224" s="2">
        <v>43302</v>
      </c>
      <c r="C224" t="s">
        <v>30</v>
      </c>
      <c r="D224" t="s">
        <v>24</v>
      </c>
      <c r="E224" s="1">
        <v>6</v>
      </c>
      <c r="F224" s="1">
        <v>16</v>
      </c>
      <c r="G224" s="1">
        <v>96</v>
      </c>
      <c r="H224" s="1">
        <v>0.01</v>
      </c>
      <c r="I224" s="1">
        <v>1</v>
      </c>
      <c r="J224" t="s">
        <v>13</v>
      </c>
    </row>
    <row r="225" spans="1:10" x14ac:dyDescent="0.35">
      <c r="A225" t="s">
        <v>255</v>
      </c>
      <c r="B225" s="2">
        <v>43303</v>
      </c>
      <c r="C225" t="s">
        <v>15</v>
      </c>
      <c r="D225" t="s">
        <v>24</v>
      </c>
      <c r="E225" s="1">
        <v>11</v>
      </c>
      <c r="F225" s="1">
        <v>40</v>
      </c>
      <c r="G225" s="1">
        <v>440</v>
      </c>
      <c r="H225" s="1">
        <v>0.05</v>
      </c>
      <c r="I225" s="1">
        <v>22</v>
      </c>
      <c r="J225" t="s">
        <v>17</v>
      </c>
    </row>
    <row r="226" spans="1:10" x14ac:dyDescent="0.35">
      <c r="A226" t="s">
        <v>256</v>
      </c>
      <c r="B226" s="2">
        <v>43303</v>
      </c>
      <c r="C226" t="s">
        <v>11</v>
      </c>
      <c r="D226" t="s">
        <v>27</v>
      </c>
      <c r="E226" s="1">
        <v>8</v>
      </c>
      <c r="F226" s="1">
        <v>80</v>
      </c>
      <c r="G226" s="1">
        <v>640</v>
      </c>
      <c r="H226" s="1">
        <v>0.06</v>
      </c>
      <c r="I226" s="1">
        <v>38</v>
      </c>
      <c r="J226" t="s">
        <v>20</v>
      </c>
    </row>
    <row r="227" spans="1:10" x14ac:dyDescent="0.35">
      <c r="A227" t="s">
        <v>257</v>
      </c>
      <c r="B227" s="2">
        <v>43303</v>
      </c>
      <c r="C227" t="s">
        <v>11</v>
      </c>
      <c r="D227" t="s">
        <v>12</v>
      </c>
      <c r="E227" s="1">
        <v>9</v>
      </c>
      <c r="F227" s="1">
        <v>80</v>
      </c>
      <c r="G227" s="1">
        <v>720</v>
      </c>
      <c r="H227" s="1">
        <v>0.04</v>
      </c>
      <c r="I227" s="1">
        <v>29</v>
      </c>
      <c r="J227" t="s">
        <v>22</v>
      </c>
    </row>
    <row r="228" spans="1:10" x14ac:dyDescent="0.35">
      <c r="A228" t="s">
        <v>258</v>
      </c>
      <c r="B228" s="2">
        <v>43303</v>
      </c>
      <c r="C228" t="s">
        <v>15</v>
      </c>
      <c r="D228" t="s">
        <v>31</v>
      </c>
      <c r="E228" s="1">
        <v>4</v>
      </c>
      <c r="F228" s="1">
        <v>40</v>
      </c>
      <c r="G228" s="1">
        <v>160</v>
      </c>
      <c r="H228" s="1">
        <v>0.09</v>
      </c>
      <c r="I228" s="1">
        <v>14</v>
      </c>
      <c r="J228" t="s">
        <v>25</v>
      </c>
    </row>
    <row r="229" spans="1:10" x14ac:dyDescent="0.35">
      <c r="A229" t="s">
        <v>259</v>
      </c>
      <c r="B229" s="2">
        <v>43303</v>
      </c>
      <c r="C229" t="s">
        <v>11</v>
      </c>
      <c r="D229" t="s">
        <v>16</v>
      </c>
      <c r="E229" s="1">
        <v>13</v>
      </c>
      <c r="F229" s="1">
        <v>80</v>
      </c>
      <c r="G229" s="1">
        <v>1040</v>
      </c>
      <c r="H229" s="1">
        <v>0.06</v>
      </c>
      <c r="I229" s="1">
        <v>62</v>
      </c>
      <c r="J229" t="s">
        <v>28</v>
      </c>
    </row>
    <row r="230" spans="1:10" x14ac:dyDescent="0.35">
      <c r="A230" t="s">
        <v>260</v>
      </c>
      <c r="B230" s="2">
        <v>43303</v>
      </c>
      <c r="C230" t="s">
        <v>34</v>
      </c>
      <c r="D230" t="s">
        <v>31</v>
      </c>
      <c r="E230" s="1">
        <v>4</v>
      </c>
      <c r="F230" s="1">
        <v>150</v>
      </c>
      <c r="G230" s="1">
        <v>600</v>
      </c>
      <c r="H230" s="1">
        <v>0.05</v>
      </c>
      <c r="I230" s="1">
        <v>30</v>
      </c>
      <c r="J230" t="s">
        <v>32</v>
      </c>
    </row>
    <row r="231" spans="1:10" x14ac:dyDescent="0.35">
      <c r="A231" t="s">
        <v>261</v>
      </c>
      <c r="B231" s="2">
        <v>43303</v>
      </c>
      <c r="C231" t="s">
        <v>19</v>
      </c>
      <c r="D231" t="s">
        <v>24</v>
      </c>
      <c r="E231" s="1">
        <v>14</v>
      </c>
      <c r="F231" s="1">
        <v>230</v>
      </c>
      <c r="G231" s="1">
        <v>3220</v>
      </c>
      <c r="H231" s="1">
        <v>0.12</v>
      </c>
      <c r="I231" s="1">
        <v>386</v>
      </c>
      <c r="J231" t="s">
        <v>35</v>
      </c>
    </row>
    <row r="232" spans="1:10" x14ac:dyDescent="0.35">
      <c r="A232" t="s">
        <v>262</v>
      </c>
      <c r="B232" s="2">
        <v>43303</v>
      </c>
      <c r="C232" t="s">
        <v>34</v>
      </c>
      <c r="D232" t="s">
        <v>31</v>
      </c>
      <c r="E232" s="1">
        <v>13</v>
      </c>
      <c r="F232" s="1">
        <v>150</v>
      </c>
      <c r="G232" s="1">
        <v>1950</v>
      </c>
      <c r="H232" s="1">
        <v>0.11</v>
      </c>
      <c r="I232" s="1">
        <v>214</v>
      </c>
      <c r="J232" t="s">
        <v>37</v>
      </c>
    </row>
    <row r="233" spans="1:10" x14ac:dyDescent="0.35">
      <c r="A233" t="s">
        <v>263</v>
      </c>
      <c r="B233" s="2">
        <v>43303</v>
      </c>
      <c r="C233" t="s">
        <v>34</v>
      </c>
      <c r="D233" t="s">
        <v>16</v>
      </c>
      <c r="E233" s="1">
        <v>16</v>
      </c>
      <c r="F233" s="1">
        <v>150</v>
      </c>
      <c r="G233" s="1">
        <v>2400</v>
      </c>
      <c r="H233" s="1">
        <v>0.03</v>
      </c>
      <c r="I233" s="1">
        <v>72</v>
      </c>
      <c r="J233" t="s">
        <v>39</v>
      </c>
    </row>
    <row r="234" spans="1:10" x14ac:dyDescent="0.35">
      <c r="A234" t="s">
        <v>264</v>
      </c>
      <c r="B234" s="2">
        <v>43303</v>
      </c>
      <c r="C234" t="s">
        <v>30</v>
      </c>
      <c r="D234" t="s">
        <v>12</v>
      </c>
      <c r="E234" s="1">
        <v>7</v>
      </c>
      <c r="F234" s="1">
        <v>16</v>
      </c>
      <c r="G234" s="1">
        <v>112</v>
      </c>
      <c r="H234" s="1">
        <v>0.12</v>
      </c>
      <c r="I234" s="1">
        <v>13</v>
      </c>
      <c r="J234" t="s">
        <v>41</v>
      </c>
    </row>
    <row r="235" spans="1:10" x14ac:dyDescent="0.35">
      <c r="A235" t="s">
        <v>265</v>
      </c>
      <c r="B235" s="2">
        <v>43303</v>
      </c>
      <c r="C235" t="s">
        <v>34</v>
      </c>
      <c r="D235" t="s">
        <v>27</v>
      </c>
      <c r="E235" s="1">
        <v>9</v>
      </c>
      <c r="F235" s="1">
        <v>150</v>
      </c>
      <c r="G235" s="1">
        <v>1350</v>
      </c>
      <c r="H235" s="1">
        <v>0.02</v>
      </c>
      <c r="I235" s="1">
        <v>27</v>
      </c>
      <c r="J235" t="s">
        <v>43</v>
      </c>
    </row>
    <row r="236" spans="1:10" x14ac:dyDescent="0.35">
      <c r="A236" t="s">
        <v>266</v>
      </c>
      <c r="B236" s="2">
        <v>43303</v>
      </c>
      <c r="C236" t="s">
        <v>30</v>
      </c>
      <c r="D236" t="s">
        <v>12</v>
      </c>
      <c r="E236" s="1">
        <v>10</v>
      </c>
      <c r="F236" s="1">
        <v>16</v>
      </c>
      <c r="G236" s="1">
        <v>160</v>
      </c>
      <c r="H236" s="1">
        <v>0.08</v>
      </c>
      <c r="I236" s="1">
        <v>13</v>
      </c>
      <c r="J236" t="s">
        <v>13</v>
      </c>
    </row>
    <row r="237" spans="1:10" x14ac:dyDescent="0.35">
      <c r="A237" t="s">
        <v>267</v>
      </c>
      <c r="B237" s="2">
        <v>43303</v>
      </c>
      <c r="C237" t="s">
        <v>11</v>
      </c>
      <c r="D237" t="s">
        <v>27</v>
      </c>
      <c r="E237" s="1">
        <v>15</v>
      </c>
      <c r="F237" s="1">
        <v>80</v>
      </c>
      <c r="G237" s="1">
        <v>1200</v>
      </c>
      <c r="H237" s="1">
        <v>0.08</v>
      </c>
      <c r="I237" s="1">
        <v>96</v>
      </c>
      <c r="J237" t="s">
        <v>17</v>
      </c>
    </row>
    <row r="238" spans="1:10" x14ac:dyDescent="0.35">
      <c r="A238" t="s">
        <v>268</v>
      </c>
      <c r="B238" s="2">
        <v>43303</v>
      </c>
      <c r="C238" t="s">
        <v>11</v>
      </c>
      <c r="D238" t="s">
        <v>31</v>
      </c>
      <c r="E238" s="1">
        <v>9</v>
      </c>
      <c r="F238" s="1">
        <v>80</v>
      </c>
      <c r="G238" s="1">
        <v>720</v>
      </c>
      <c r="H238" s="1">
        <v>0.06</v>
      </c>
      <c r="I238" s="1">
        <v>43</v>
      </c>
      <c r="J238" t="s">
        <v>20</v>
      </c>
    </row>
    <row r="239" spans="1:10" x14ac:dyDescent="0.35">
      <c r="A239" t="s">
        <v>269</v>
      </c>
      <c r="B239" s="2">
        <v>43304</v>
      </c>
      <c r="C239" t="s">
        <v>30</v>
      </c>
      <c r="D239" t="s">
        <v>27</v>
      </c>
      <c r="E239" s="1">
        <v>7</v>
      </c>
      <c r="F239" s="1">
        <v>16</v>
      </c>
      <c r="G239" s="1">
        <v>112</v>
      </c>
      <c r="H239" s="1">
        <v>0.08</v>
      </c>
      <c r="I239" s="1">
        <v>9</v>
      </c>
      <c r="J239" t="s">
        <v>22</v>
      </c>
    </row>
    <row r="240" spans="1:10" x14ac:dyDescent="0.35">
      <c r="A240" t="s">
        <v>270</v>
      </c>
      <c r="B240" s="2">
        <v>43304</v>
      </c>
      <c r="C240" t="s">
        <v>34</v>
      </c>
      <c r="D240" t="s">
        <v>31</v>
      </c>
      <c r="E240" s="1">
        <v>7</v>
      </c>
      <c r="F240" s="1">
        <v>150</v>
      </c>
      <c r="G240" s="1">
        <v>1050</v>
      </c>
      <c r="H240" s="1">
        <v>0.03</v>
      </c>
      <c r="I240" s="1">
        <v>32</v>
      </c>
      <c r="J240" t="s">
        <v>25</v>
      </c>
    </row>
    <row r="241" spans="1:10" x14ac:dyDescent="0.35">
      <c r="A241" t="s">
        <v>271</v>
      </c>
      <c r="B241" s="2">
        <v>43304</v>
      </c>
      <c r="C241" t="s">
        <v>19</v>
      </c>
      <c r="D241" t="s">
        <v>27</v>
      </c>
      <c r="E241" s="1">
        <v>16</v>
      </c>
      <c r="F241" s="1">
        <v>230</v>
      </c>
      <c r="G241" s="1">
        <v>3680</v>
      </c>
      <c r="H241" s="1">
        <v>0.11</v>
      </c>
      <c r="I241" s="1">
        <v>405</v>
      </c>
      <c r="J241" t="s">
        <v>28</v>
      </c>
    </row>
    <row r="242" spans="1:10" x14ac:dyDescent="0.35">
      <c r="A242" t="s">
        <v>272</v>
      </c>
      <c r="B242" s="2">
        <v>43304</v>
      </c>
      <c r="C242" t="s">
        <v>30</v>
      </c>
      <c r="D242" t="s">
        <v>27</v>
      </c>
      <c r="E242" s="1">
        <v>18</v>
      </c>
      <c r="F242" s="1">
        <v>16</v>
      </c>
      <c r="G242" s="1">
        <v>288</v>
      </c>
      <c r="H242" s="1">
        <v>0.04</v>
      </c>
      <c r="I242" s="1">
        <v>12</v>
      </c>
      <c r="J242" t="s">
        <v>32</v>
      </c>
    </row>
    <row r="243" spans="1:10" x14ac:dyDescent="0.35">
      <c r="A243" t="s">
        <v>273</v>
      </c>
      <c r="B243" s="2">
        <v>43304</v>
      </c>
      <c r="C243" t="s">
        <v>19</v>
      </c>
      <c r="D243" t="s">
        <v>31</v>
      </c>
      <c r="E243" s="1">
        <v>20</v>
      </c>
      <c r="F243" s="1">
        <v>230</v>
      </c>
      <c r="G243" s="1">
        <v>4600</v>
      </c>
      <c r="H243" s="1">
        <v>0.11</v>
      </c>
      <c r="I243" s="1">
        <v>506</v>
      </c>
      <c r="J243" t="s">
        <v>35</v>
      </c>
    </row>
    <row r="244" spans="1:10" x14ac:dyDescent="0.35">
      <c r="A244" t="s">
        <v>274</v>
      </c>
      <c r="B244" s="2">
        <v>43304</v>
      </c>
      <c r="C244" t="s">
        <v>34</v>
      </c>
      <c r="D244" t="s">
        <v>12</v>
      </c>
      <c r="E244" s="1">
        <v>7</v>
      </c>
      <c r="F244" s="1">
        <v>150</v>
      </c>
      <c r="G244" s="1">
        <v>1050</v>
      </c>
      <c r="H244" s="1">
        <v>0.02</v>
      </c>
      <c r="I244" s="1">
        <v>21</v>
      </c>
      <c r="J244" t="s">
        <v>37</v>
      </c>
    </row>
    <row r="245" spans="1:10" x14ac:dyDescent="0.35">
      <c r="A245" t="s">
        <v>275</v>
      </c>
      <c r="B245" s="2">
        <v>43304</v>
      </c>
      <c r="C245" t="s">
        <v>30</v>
      </c>
      <c r="D245" t="s">
        <v>24</v>
      </c>
      <c r="E245" s="1">
        <v>11</v>
      </c>
      <c r="F245" s="1">
        <v>16</v>
      </c>
      <c r="G245" s="1">
        <v>176</v>
      </c>
      <c r="H245" s="1">
        <v>0.12</v>
      </c>
      <c r="I245" s="1">
        <v>21</v>
      </c>
      <c r="J245" t="s">
        <v>39</v>
      </c>
    </row>
    <row r="246" spans="1:10" x14ac:dyDescent="0.35">
      <c r="A246" t="s">
        <v>276</v>
      </c>
      <c r="B246" s="2">
        <v>43304</v>
      </c>
      <c r="C246" t="s">
        <v>15</v>
      </c>
      <c r="D246" t="s">
        <v>24</v>
      </c>
      <c r="E246" s="1">
        <v>12</v>
      </c>
      <c r="F246" s="1">
        <v>40</v>
      </c>
      <c r="G246" s="1">
        <v>480</v>
      </c>
      <c r="H246" s="1">
        <v>0.02</v>
      </c>
      <c r="I246" s="1">
        <v>10</v>
      </c>
      <c r="J246" t="s">
        <v>41</v>
      </c>
    </row>
    <row r="247" spans="1:10" x14ac:dyDescent="0.35">
      <c r="A247" t="s">
        <v>277</v>
      </c>
      <c r="B247" s="2">
        <v>43304</v>
      </c>
      <c r="C247" t="s">
        <v>34</v>
      </c>
      <c r="D247" t="s">
        <v>31</v>
      </c>
      <c r="E247" s="1">
        <v>7</v>
      </c>
      <c r="F247" s="1">
        <v>150</v>
      </c>
      <c r="G247" s="1">
        <v>1050</v>
      </c>
      <c r="H247" s="1">
        <v>0.02</v>
      </c>
      <c r="I247" s="1">
        <v>21</v>
      </c>
      <c r="J247" t="s">
        <v>43</v>
      </c>
    </row>
    <row r="248" spans="1:10" x14ac:dyDescent="0.35">
      <c r="A248" t="s">
        <v>278</v>
      </c>
      <c r="B248" s="2">
        <v>43304</v>
      </c>
      <c r="C248" t="s">
        <v>11</v>
      </c>
      <c r="D248" t="s">
        <v>24</v>
      </c>
      <c r="E248" s="1">
        <v>14</v>
      </c>
      <c r="F248" s="1">
        <v>80</v>
      </c>
      <c r="G248" s="1">
        <v>1120</v>
      </c>
      <c r="H248" s="1">
        <v>0.1</v>
      </c>
      <c r="I248" s="1">
        <v>112</v>
      </c>
      <c r="J248" t="s">
        <v>13</v>
      </c>
    </row>
    <row r="249" spans="1:10" x14ac:dyDescent="0.35">
      <c r="A249" t="s">
        <v>279</v>
      </c>
      <c r="B249" s="2">
        <v>43304</v>
      </c>
      <c r="C249" t="s">
        <v>19</v>
      </c>
      <c r="D249" t="s">
        <v>24</v>
      </c>
      <c r="E249" s="1">
        <v>12</v>
      </c>
      <c r="F249" s="1">
        <v>230</v>
      </c>
      <c r="G249" s="1">
        <v>2760</v>
      </c>
      <c r="H249" s="1">
        <v>0.06</v>
      </c>
      <c r="I249" s="1">
        <v>166</v>
      </c>
      <c r="J249" t="s">
        <v>17</v>
      </c>
    </row>
    <row r="250" spans="1:10" x14ac:dyDescent="0.35">
      <c r="A250" t="s">
        <v>280</v>
      </c>
      <c r="B250" s="2">
        <v>43305</v>
      </c>
      <c r="C250" t="s">
        <v>11</v>
      </c>
      <c r="D250" t="s">
        <v>16</v>
      </c>
      <c r="E250" s="1">
        <v>21</v>
      </c>
      <c r="F250" s="1">
        <v>80</v>
      </c>
      <c r="G250" s="1">
        <v>1680</v>
      </c>
      <c r="H250" s="1">
        <v>0.04</v>
      </c>
      <c r="I250" s="1">
        <v>67</v>
      </c>
      <c r="J250" t="s">
        <v>20</v>
      </c>
    </row>
    <row r="251" spans="1:10" x14ac:dyDescent="0.35">
      <c r="A251" t="s">
        <v>281</v>
      </c>
      <c r="B251" s="2">
        <v>43305</v>
      </c>
      <c r="C251" t="s">
        <v>34</v>
      </c>
      <c r="D251" t="s">
        <v>12</v>
      </c>
      <c r="E251" s="1">
        <v>8</v>
      </c>
      <c r="F251" s="1">
        <v>150</v>
      </c>
      <c r="G251" s="1">
        <v>1200</v>
      </c>
      <c r="H251" s="1">
        <v>0.09</v>
      </c>
      <c r="I251" s="1">
        <v>108</v>
      </c>
      <c r="J251" t="s">
        <v>22</v>
      </c>
    </row>
    <row r="252" spans="1:10" x14ac:dyDescent="0.35">
      <c r="A252" t="s">
        <v>282</v>
      </c>
      <c r="B252" s="2">
        <v>43305</v>
      </c>
      <c r="C252" t="s">
        <v>11</v>
      </c>
      <c r="D252" t="s">
        <v>16</v>
      </c>
      <c r="E252" s="1">
        <v>16</v>
      </c>
      <c r="F252" s="1">
        <v>80</v>
      </c>
      <c r="G252" s="1">
        <v>1280</v>
      </c>
      <c r="H252" s="1">
        <v>0.04</v>
      </c>
      <c r="I252" s="1">
        <v>51</v>
      </c>
      <c r="J252" t="s">
        <v>25</v>
      </c>
    </row>
    <row r="253" spans="1:10" x14ac:dyDescent="0.35">
      <c r="A253" t="s">
        <v>283</v>
      </c>
      <c r="B253" s="2">
        <v>43305</v>
      </c>
      <c r="C253" t="s">
        <v>19</v>
      </c>
      <c r="D253" t="s">
        <v>16</v>
      </c>
      <c r="E253" s="1">
        <v>14</v>
      </c>
      <c r="F253" s="1">
        <v>230</v>
      </c>
      <c r="G253" s="1">
        <v>3220</v>
      </c>
      <c r="H253" s="1">
        <v>0.05</v>
      </c>
      <c r="I253" s="1">
        <v>161</v>
      </c>
      <c r="J253" t="s">
        <v>28</v>
      </c>
    </row>
    <row r="254" spans="1:10" x14ac:dyDescent="0.35">
      <c r="A254" t="s">
        <v>284</v>
      </c>
      <c r="B254" s="2">
        <v>43305</v>
      </c>
      <c r="C254" t="s">
        <v>15</v>
      </c>
      <c r="D254" t="s">
        <v>24</v>
      </c>
      <c r="E254" s="1">
        <v>2</v>
      </c>
      <c r="F254" s="1">
        <v>40</v>
      </c>
      <c r="G254" s="1">
        <v>80</v>
      </c>
      <c r="H254" s="1">
        <v>0.03</v>
      </c>
      <c r="I254" s="1">
        <v>2</v>
      </c>
      <c r="J254" t="s">
        <v>32</v>
      </c>
    </row>
    <row r="255" spans="1:10" x14ac:dyDescent="0.35">
      <c r="A255" t="s">
        <v>285</v>
      </c>
      <c r="B255" s="2">
        <v>43305</v>
      </c>
      <c r="C255" t="s">
        <v>34</v>
      </c>
      <c r="D255" t="s">
        <v>12</v>
      </c>
      <c r="E255" s="1">
        <v>4</v>
      </c>
      <c r="F255" s="1">
        <v>150</v>
      </c>
      <c r="G255" s="1">
        <v>600</v>
      </c>
      <c r="H255" s="1">
        <v>0.1</v>
      </c>
      <c r="I255" s="1">
        <v>60</v>
      </c>
      <c r="J255" t="s">
        <v>35</v>
      </c>
    </row>
    <row r="256" spans="1:10" x14ac:dyDescent="0.35">
      <c r="A256" t="s">
        <v>286</v>
      </c>
      <c r="B256" s="2">
        <v>43305</v>
      </c>
      <c r="C256" t="s">
        <v>11</v>
      </c>
      <c r="D256" t="s">
        <v>24</v>
      </c>
      <c r="E256" s="1">
        <v>6</v>
      </c>
      <c r="F256" s="1">
        <v>80</v>
      </c>
      <c r="G256" s="1">
        <v>480</v>
      </c>
      <c r="H256" s="1">
        <v>0.01</v>
      </c>
      <c r="I256" s="1">
        <v>5</v>
      </c>
      <c r="J256" t="s">
        <v>37</v>
      </c>
    </row>
    <row r="257" spans="1:10" x14ac:dyDescent="0.35">
      <c r="A257" t="s">
        <v>287</v>
      </c>
      <c r="B257" s="2">
        <v>43305</v>
      </c>
      <c r="C257" t="s">
        <v>15</v>
      </c>
      <c r="D257" t="s">
        <v>24</v>
      </c>
      <c r="E257" s="1">
        <v>6</v>
      </c>
      <c r="F257" s="1">
        <v>40</v>
      </c>
      <c r="G257" s="1">
        <v>240</v>
      </c>
      <c r="H257" s="1">
        <v>0.06</v>
      </c>
      <c r="I257" s="1">
        <v>14</v>
      </c>
      <c r="J257" t="s">
        <v>39</v>
      </c>
    </row>
    <row r="258" spans="1:10" x14ac:dyDescent="0.35">
      <c r="A258" t="s">
        <v>288</v>
      </c>
      <c r="B258" s="2">
        <v>43305</v>
      </c>
      <c r="C258" t="s">
        <v>34</v>
      </c>
      <c r="D258" t="s">
        <v>12</v>
      </c>
      <c r="E258" s="1">
        <v>20</v>
      </c>
      <c r="F258" s="1">
        <v>150</v>
      </c>
      <c r="G258" s="1">
        <v>3000</v>
      </c>
      <c r="H258" s="1">
        <v>0.04</v>
      </c>
      <c r="I258" s="1">
        <v>120</v>
      </c>
      <c r="J258" t="s">
        <v>41</v>
      </c>
    </row>
    <row r="259" spans="1:10" x14ac:dyDescent="0.35">
      <c r="A259" t="s">
        <v>289</v>
      </c>
      <c r="B259" s="2">
        <v>43305</v>
      </c>
      <c r="C259" t="s">
        <v>15</v>
      </c>
      <c r="D259" t="s">
        <v>24</v>
      </c>
      <c r="E259" s="1">
        <v>18</v>
      </c>
      <c r="F259" s="1">
        <v>40</v>
      </c>
      <c r="G259" s="1">
        <v>720</v>
      </c>
      <c r="H259" s="1">
        <v>0.03</v>
      </c>
      <c r="I259" s="1">
        <v>22</v>
      </c>
      <c r="J259" t="s">
        <v>43</v>
      </c>
    </row>
    <row r="260" spans="1:10" x14ac:dyDescent="0.35">
      <c r="A260" t="s">
        <v>290</v>
      </c>
      <c r="B260" s="2">
        <v>43305</v>
      </c>
      <c r="C260" t="s">
        <v>19</v>
      </c>
      <c r="D260" t="s">
        <v>27</v>
      </c>
      <c r="E260" s="1">
        <v>18</v>
      </c>
      <c r="F260" s="1">
        <v>230</v>
      </c>
      <c r="G260" s="1">
        <v>4140</v>
      </c>
      <c r="H260" s="1">
        <v>0.01</v>
      </c>
      <c r="I260" s="1">
        <v>41</v>
      </c>
      <c r="J260" t="s">
        <v>13</v>
      </c>
    </row>
    <row r="261" spans="1:10" x14ac:dyDescent="0.35">
      <c r="A261" t="s">
        <v>291</v>
      </c>
      <c r="B261" s="2">
        <v>43305</v>
      </c>
      <c r="C261" t="s">
        <v>19</v>
      </c>
      <c r="D261" t="s">
        <v>24</v>
      </c>
      <c r="E261" s="1">
        <v>15</v>
      </c>
      <c r="F261" s="1">
        <v>230</v>
      </c>
      <c r="G261" s="1">
        <v>3450</v>
      </c>
      <c r="H261" s="1">
        <v>0.04</v>
      </c>
      <c r="I261" s="1">
        <v>138</v>
      </c>
      <c r="J261" t="s">
        <v>17</v>
      </c>
    </row>
    <row r="262" spans="1:10" x14ac:dyDescent="0.35">
      <c r="A262" t="s">
        <v>292</v>
      </c>
      <c r="B262" s="2">
        <v>43305</v>
      </c>
      <c r="C262" t="s">
        <v>30</v>
      </c>
      <c r="D262" t="s">
        <v>16</v>
      </c>
      <c r="E262" s="1">
        <v>22</v>
      </c>
      <c r="F262" s="1">
        <v>16</v>
      </c>
      <c r="G262" s="1">
        <v>352</v>
      </c>
      <c r="H262" s="1">
        <v>0.01</v>
      </c>
      <c r="I262" s="1">
        <v>4</v>
      </c>
      <c r="J262" t="s">
        <v>20</v>
      </c>
    </row>
    <row r="263" spans="1:10" x14ac:dyDescent="0.35">
      <c r="A263" t="s">
        <v>293</v>
      </c>
      <c r="B263" s="2">
        <v>43305</v>
      </c>
      <c r="C263" t="s">
        <v>34</v>
      </c>
      <c r="D263" t="s">
        <v>12</v>
      </c>
      <c r="E263" s="1">
        <v>17</v>
      </c>
      <c r="F263" s="1">
        <v>150</v>
      </c>
      <c r="G263" s="1">
        <v>2550</v>
      </c>
      <c r="H263" s="1">
        <v>0.12</v>
      </c>
      <c r="I263" s="1">
        <v>306</v>
      </c>
      <c r="J263" t="s">
        <v>22</v>
      </c>
    </row>
    <row r="264" spans="1:10" x14ac:dyDescent="0.35">
      <c r="A264" t="s">
        <v>294</v>
      </c>
      <c r="B264" s="2">
        <v>43306</v>
      </c>
      <c r="C264" t="s">
        <v>30</v>
      </c>
      <c r="D264" t="s">
        <v>16</v>
      </c>
      <c r="E264" s="1">
        <v>5</v>
      </c>
      <c r="F264" s="1">
        <v>16</v>
      </c>
      <c r="G264" s="1">
        <v>80</v>
      </c>
      <c r="H264" s="1">
        <v>0.11</v>
      </c>
      <c r="I264" s="1">
        <v>9</v>
      </c>
      <c r="J264" t="s">
        <v>25</v>
      </c>
    </row>
    <row r="265" spans="1:10" x14ac:dyDescent="0.35">
      <c r="A265" t="s">
        <v>295</v>
      </c>
      <c r="B265" s="2">
        <v>43306</v>
      </c>
      <c r="C265" t="s">
        <v>34</v>
      </c>
      <c r="D265" t="s">
        <v>12</v>
      </c>
      <c r="E265" s="1">
        <v>23</v>
      </c>
      <c r="F265" s="1">
        <v>150</v>
      </c>
      <c r="G265" s="1">
        <v>3450</v>
      </c>
      <c r="H265" s="1">
        <v>0.1</v>
      </c>
      <c r="I265" s="1">
        <v>345</v>
      </c>
      <c r="J265" t="s">
        <v>28</v>
      </c>
    </row>
    <row r="266" spans="1:10" x14ac:dyDescent="0.35">
      <c r="A266" t="s">
        <v>296</v>
      </c>
      <c r="B266" s="2">
        <v>43306</v>
      </c>
      <c r="C266" t="s">
        <v>34</v>
      </c>
      <c r="D266" t="s">
        <v>27</v>
      </c>
      <c r="E266" s="1">
        <v>22</v>
      </c>
      <c r="F266" s="1">
        <v>150</v>
      </c>
      <c r="G266" s="1">
        <v>3300</v>
      </c>
      <c r="H266" s="1">
        <v>0.05</v>
      </c>
      <c r="I266" s="1">
        <v>165</v>
      </c>
      <c r="J266" t="s">
        <v>32</v>
      </c>
    </row>
    <row r="267" spans="1:10" x14ac:dyDescent="0.35">
      <c r="A267" t="s">
        <v>297</v>
      </c>
      <c r="B267" s="2">
        <v>43306</v>
      </c>
      <c r="C267" t="s">
        <v>30</v>
      </c>
      <c r="D267" t="s">
        <v>31</v>
      </c>
      <c r="E267" s="1">
        <v>15</v>
      </c>
      <c r="F267" s="1">
        <v>16</v>
      </c>
      <c r="G267" s="1">
        <v>240</v>
      </c>
      <c r="H267" s="1">
        <v>0.01</v>
      </c>
      <c r="I267" s="1">
        <v>2</v>
      </c>
      <c r="J267" t="s">
        <v>35</v>
      </c>
    </row>
    <row r="268" spans="1:10" x14ac:dyDescent="0.35">
      <c r="A268" t="s">
        <v>298</v>
      </c>
      <c r="B268" s="2">
        <v>43306</v>
      </c>
      <c r="C268" t="s">
        <v>15</v>
      </c>
      <c r="D268" t="s">
        <v>27</v>
      </c>
      <c r="E268" s="1">
        <v>7</v>
      </c>
      <c r="F268" s="1">
        <v>40</v>
      </c>
      <c r="G268" s="1">
        <v>280</v>
      </c>
      <c r="H268" s="1">
        <v>7.0000000000000007E-2</v>
      </c>
      <c r="I268" s="1">
        <v>20</v>
      </c>
      <c r="J268" t="s">
        <v>37</v>
      </c>
    </row>
    <row r="269" spans="1:10" x14ac:dyDescent="0.35">
      <c r="A269" t="s">
        <v>299</v>
      </c>
      <c r="B269" s="2">
        <v>43306</v>
      </c>
      <c r="C269" t="s">
        <v>11</v>
      </c>
      <c r="D269" t="s">
        <v>31</v>
      </c>
      <c r="E269" s="1">
        <v>22</v>
      </c>
      <c r="F269" s="1">
        <v>80</v>
      </c>
      <c r="G269" s="1">
        <v>1760</v>
      </c>
      <c r="H269" s="1">
        <v>0.11</v>
      </c>
      <c r="I269" s="1">
        <v>194</v>
      </c>
      <c r="J269" t="s">
        <v>39</v>
      </c>
    </row>
    <row r="270" spans="1:10" x14ac:dyDescent="0.35">
      <c r="A270" t="s">
        <v>300</v>
      </c>
      <c r="B270" s="2">
        <v>43306</v>
      </c>
      <c r="C270" t="s">
        <v>34</v>
      </c>
      <c r="D270" t="s">
        <v>24</v>
      </c>
      <c r="E270" s="1">
        <v>11</v>
      </c>
      <c r="F270" s="1">
        <v>150</v>
      </c>
      <c r="G270" s="1">
        <v>1650</v>
      </c>
      <c r="H270" s="1">
        <v>0.05</v>
      </c>
      <c r="I270" s="1">
        <v>82</v>
      </c>
      <c r="J270" t="s">
        <v>41</v>
      </c>
    </row>
    <row r="271" spans="1:10" x14ac:dyDescent="0.35">
      <c r="A271" t="s">
        <v>301</v>
      </c>
      <c r="B271" s="2">
        <v>43306</v>
      </c>
      <c r="C271" t="s">
        <v>15</v>
      </c>
      <c r="D271" t="s">
        <v>16</v>
      </c>
      <c r="E271" s="1">
        <v>21</v>
      </c>
      <c r="F271" s="1">
        <v>40</v>
      </c>
      <c r="G271" s="1">
        <v>840</v>
      </c>
      <c r="H271" s="1">
        <v>0.03</v>
      </c>
      <c r="I271" s="1">
        <v>25</v>
      </c>
      <c r="J271" t="s">
        <v>43</v>
      </c>
    </row>
    <row r="272" spans="1:10" x14ac:dyDescent="0.35">
      <c r="A272" t="s">
        <v>302</v>
      </c>
      <c r="B272" s="2">
        <v>43306</v>
      </c>
      <c r="C272" t="s">
        <v>11</v>
      </c>
      <c r="D272" t="s">
        <v>27</v>
      </c>
      <c r="E272" s="1">
        <v>23</v>
      </c>
      <c r="F272" s="1">
        <v>80</v>
      </c>
      <c r="G272" s="1">
        <v>1840</v>
      </c>
      <c r="H272" s="1">
        <v>0.11</v>
      </c>
      <c r="I272" s="1">
        <v>202</v>
      </c>
      <c r="J272" t="s">
        <v>13</v>
      </c>
    </row>
    <row r="273" spans="1:10" x14ac:dyDescent="0.35">
      <c r="A273" t="s">
        <v>303</v>
      </c>
      <c r="B273" s="2">
        <v>43306</v>
      </c>
      <c r="C273" t="s">
        <v>19</v>
      </c>
      <c r="D273" t="s">
        <v>24</v>
      </c>
      <c r="E273" s="1">
        <v>7</v>
      </c>
      <c r="F273" s="1">
        <v>230</v>
      </c>
      <c r="G273" s="1">
        <v>1610</v>
      </c>
      <c r="H273" s="1">
        <v>0.01</v>
      </c>
      <c r="I273" s="1">
        <v>16</v>
      </c>
      <c r="J273" t="s">
        <v>17</v>
      </c>
    </row>
    <row r="274" spans="1:10" x14ac:dyDescent="0.35">
      <c r="A274" t="s">
        <v>304</v>
      </c>
      <c r="B274" s="2">
        <v>43306</v>
      </c>
      <c r="C274" t="s">
        <v>19</v>
      </c>
      <c r="D274" t="s">
        <v>12</v>
      </c>
      <c r="E274" s="1">
        <v>16</v>
      </c>
      <c r="F274" s="1">
        <v>230</v>
      </c>
      <c r="G274" s="1">
        <v>3680</v>
      </c>
      <c r="H274" s="1">
        <v>7.0000000000000007E-2</v>
      </c>
      <c r="I274" s="1">
        <v>258</v>
      </c>
      <c r="J274" t="s">
        <v>20</v>
      </c>
    </row>
    <row r="275" spans="1:10" x14ac:dyDescent="0.35">
      <c r="A275" t="s">
        <v>305</v>
      </c>
      <c r="B275" s="2">
        <v>43306</v>
      </c>
      <c r="C275" t="s">
        <v>11</v>
      </c>
      <c r="D275" t="s">
        <v>16</v>
      </c>
      <c r="E275" s="1">
        <v>14</v>
      </c>
      <c r="F275" s="1">
        <v>80</v>
      </c>
      <c r="G275" s="1">
        <v>1120</v>
      </c>
      <c r="H275" s="1">
        <v>0.11</v>
      </c>
      <c r="I275" s="1">
        <v>123</v>
      </c>
      <c r="J275" t="s">
        <v>22</v>
      </c>
    </row>
    <row r="276" spans="1:10" x14ac:dyDescent="0.35">
      <c r="A276" t="s">
        <v>306</v>
      </c>
      <c r="B276" s="2">
        <v>43306</v>
      </c>
      <c r="C276" t="s">
        <v>34</v>
      </c>
      <c r="D276" t="s">
        <v>24</v>
      </c>
      <c r="E276" s="1">
        <v>22</v>
      </c>
      <c r="F276" s="1">
        <v>150</v>
      </c>
      <c r="G276" s="1">
        <v>3300</v>
      </c>
      <c r="H276" s="1">
        <v>0.09</v>
      </c>
      <c r="I276" s="1">
        <v>297</v>
      </c>
      <c r="J276" t="s">
        <v>25</v>
      </c>
    </row>
    <row r="277" spans="1:10" x14ac:dyDescent="0.35">
      <c r="A277" t="s">
        <v>307</v>
      </c>
      <c r="B277" s="2">
        <v>43306</v>
      </c>
      <c r="C277" t="s">
        <v>34</v>
      </c>
      <c r="D277" t="s">
        <v>27</v>
      </c>
      <c r="E277" s="1">
        <v>4</v>
      </c>
      <c r="F277" s="1">
        <v>150</v>
      </c>
      <c r="G277" s="1">
        <v>600</v>
      </c>
      <c r="H277" s="1">
        <v>0.12</v>
      </c>
      <c r="I277" s="1">
        <v>72</v>
      </c>
      <c r="J277" t="s">
        <v>28</v>
      </c>
    </row>
    <row r="278" spans="1:10" x14ac:dyDescent="0.35">
      <c r="A278" t="s">
        <v>308</v>
      </c>
      <c r="B278" s="2">
        <v>43306</v>
      </c>
      <c r="C278" t="s">
        <v>34</v>
      </c>
      <c r="D278" t="s">
        <v>12</v>
      </c>
      <c r="E278" s="1">
        <v>3</v>
      </c>
      <c r="F278" s="1">
        <v>150</v>
      </c>
      <c r="G278" s="1">
        <v>450</v>
      </c>
      <c r="H278" s="1">
        <v>0.03</v>
      </c>
      <c r="I278" s="1">
        <v>14</v>
      </c>
      <c r="J278" t="s">
        <v>32</v>
      </c>
    </row>
    <row r="279" spans="1:10" x14ac:dyDescent="0.35">
      <c r="A279" t="s">
        <v>309</v>
      </c>
      <c r="B279" s="2">
        <v>43306</v>
      </c>
      <c r="C279" t="s">
        <v>15</v>
      </c>
      <c r="D279" t="s">
        <v>31</v>
      </c>
      <c r="E279" s="1">
        <v>17</v>
      </c>
      <c r="F279" s="1">
        <v>40</v>
      </c>
      <c r="G279" s="1">
        <v>680</v>
      </c>
      <c r="H279" s="1">
        <v>0.02</v>
      </c>
      <c r="I279" s="1">
        <v>14</v>
      </c>
      <c r="J279" t="s">
        <v>35</v>
      </c>
    </row>
    <row r="280" spans="1:10" x14ac:dyDescent="0.35">
      <c r="A280" t="s">
        <v>310</v>
      </c>
      <c r="B280" s="2">
        <v>43306</v>
      </c>
      <c r="C280" t="s">
        <v>11</v>
      </c>
      <c r="D280" t="s">
        <v>31</v>
      </c>
      <c r="E280" s="1">
        <v>22</v>
      </c>
      <c r="F280" s="1">
        <v>80</v>
      </c>
      <c r="G280" s="1">
        <v>1760</v>
      </c>
      <c r="H280" s="1">
        <v>0.1</v>
      </c>
      <c r="I280" s="1">
        <v>176</v>
      </c>
      <c r="J280" t="s">
        <v>37</v>
      </c>
    </row>
    <row r="281" spans="1:10" x14ac:dyDescent="0.35">
      <c r="A281" t="s">
        <v>311</v>
      </c>
      <c r="B281" s="2">
        <v>43306</v>
      </c>
      <c r="C281" t="s">
        <v>34</v>
      </c>
      <c r="D281" t="s">
        <v>31</v>
      </c>
      <c r="E281" s="1">
        <v>18</v>
      </c>
      <c r="F281" s="1">
        <v>150</v>
      </c>
      <c r="G281" s="1">
        <v>2700</v>
      </c>
      <c r="H281" s="1">
        <v>0.12</v>
      </c>
      <c r="I281" s="1">
        <v>324</v>
      </c>
      <c r="J281" t="s">
        <v>39</v>
      </c>
    </row>
    <row r="282" spans="1:10" x14ac:dyDescent="0.35">
      <c r="A282" t="s">
        <v>312</v>
      </c>
      <c r="B282" s="2">
        <v>43307</v>
      </c>
      <c r="C282" t="s">
        <v>34</v>
      </c>
      <c r="D282" t="s">
        <v>12</v>
      </c>
      <c r="E282" s="1">
        <v>4</v>
      </c>
      <c r="F282" s="1">
        <v>150</v>
      </c>
      <c r="G282" s="1">
        <v>600</v>
      </c>
      <c r="H282" s="1">
        <v>0.06</v>
      </c>
      <c r="I282" s="1">
        <v>36</v>
      </c>
      <c r="J282" t="s">
        <v>13</v>
      </c>
    </row>
    <row r="283" spans="1:10" x14ac:dyDescent="0.35">
      <c r="A283" t="s">
        <v>313</v>
      </c>
      <c r="B283" s="2">
        <v>43307</v>
      </c>
      <c r="C283" t="s">
        <v>19</v>
      </c>
      <c r="D283" t="s">
        <v>16</v>
      </c>
      <c r="E283" s="1">
        <v>22</v>
      </c>
      <c r="F283" s="1">
        <v>230</v>
      </c>
      <c r="G283" s="1">
        <v>5060</v>
      </c>
      <c r="H283" s="1">
        <v>0.04</v>
      </c>
      <c r="I283" s="1">
        <v>202</v>
      </c>
      <c r="J283" t="s">
        <v>17</v>
      </c>
    </row>
    <row r="284" spans="1:10" x14ac:dyDescent="0.35">
      <c r="A284" t="s">
        <v>314</v>
      </c>
      <c r="B284" s="2">
        <v>43307</v>
      </c>
      <c r="C284" t="s">
        <v>34</v>
      </c>
      <c r="D284" t="s">
        <v>16</v>
      </c>
      <c r="E284" s="1">
        <v>15</v>
      </c>
      <c r="F284" s="1">
        <v>150</v>
      </c>
      <c r="G284" s="1">
        <v>2250</v>
      </c>
      <c r="H284" s="1">
        <v>0.12</v>
      </c>
      <c r="I284" s="1">
        <v>270</v>
      </c>
      <c r="J284" t="s">
        <v>20</v>
      </c>
    </row>
    <row r="285" spans="1:10" x14ac:dyDescent="0.35">
      <c r="A285" t="s">
        <v>315</v>
      </c>
      <c r="B285" s="2">
        <v>43307</v>
      </c>
      <c r="C285" t="s">
        <v>11</v>
      </c>
      <c r="D285" t="s">
        <v>12</v>
      </c>
      <c r="E285" s="1">
        <v>17</v>
      </c>
      <c r="F285" s="1">
        <v>80</v>
      </c>
      <c r="G285" s="1">
        <v>1360</v>
      </c>
      <c r="H285" s="1">
        <v>7.0000000000000007E-2</v>
      </c>
      <c r="I285" s="1">
        <v>95</v>
      </c>
      <c r="J285" t="s">
        <v>22</v>
      </c>
    </row>
    <row r="286" spans="1:10" x14ac:dyDescent="0.35">
      <c r="A286" t="s">
        <v>316</v>
      </c>
      <c r="B286" s="2">
        <v>43307</v>
      </c>
      <c r="C286" t="s">
        <v>15</v>
      </c>
      <c r="D286" t="s">
        <v>31</v>
      </c>
      <c r="E286" s="1">
        <v>10</v>
      </c>
      <c r="F286" s="1">
        <v>40</v>
      </c>
      <c r="G286" s="1">
        <v>400</v>
      </c>
      <c r="H286" s="1">
        <v>0.03</v>
      </c>
      <c r="I286" s="1">
        <v>12</v>
      </c>
      <c r="J286" t="s">
        <v>25</v>
      </c>
    </row>
    <row r="287" spans="1:10" x14ac:dyDescent="0.35">
      <c r="A287" t="s">
        <v>317</v>
      </c>
      <c r="B287" s="2">
        <v>43307</v>
      </c>
      <c r="C287" t="s">
        <v>15</v>
      </c>
      <c r="D287" t="s">
        <v>12</v>
      </c>
      <c r="E287" s="1">
        <v>23</v>
      </c>
      <c r="F287" s="1">
        <v>40</v>
      </c>
      <c r="G287" s="1">
        <v>920</v>
      </c>
      <c r="H287" s="1">
        <v>7.0000000000000007E-2</v>
      </c>
      <c r="I287" s="1">
        <v>64</v>
      </c>
      <c r="J287" t="s">
        <v>28</v>
      </c>
    </row>
    <row r="288" spans="1:10" x14ac:dyDescent="0.35">
      <c r="A288" t="s">
        <v>318</v>
      </c>
      <c r="B288" s="2">
        <v>43307</v>
      </c>
      <c r="C288" t="s">
        <v>30</v>
      </c>
      <c r="D288" t="s">
        <v>16</v>
      </c>
      <c r="E288" s="1">
        <v>22</v>
      </c>
      <c r="F288" s="1">
        <v>16</v>
      </c>
      <c r="G288" s="1">
        <v>352</v>
      </c>
      <c r="H288" s="1">
        <v>0.04</v>
      </c>
      <c r="I288" s="1">
        <v>14</v>
      </c>
      <c r="J288" t="s">
        <v>32</v>
      </c>
    </row>
    <row r="289" spans="1:10" x14ac:dyDescent="0.35">
      <c r="A289" t="s">
        <v>319</v>
      </c>
      <c r="B289" s="2">
        <v>43307</v>
      </c>
      <c r="C289" t="s">
        <v>11</v>
      </c>
      <c r="D289" t="s">
        <v>24</v>
      </c>
      <c r="E289" s="1">
        <v>8</v>
      </c>
      <c r="F289" s="1">
        <v>80</v>
      </c>
      <c r="G289" s="1">
        <v>640</v>
      </c>
      <c r="H289" s="1">
        <v>0.02</v>
      </c>
      <c r="I289" s="1">
        <v>13</v>
      </c>
      <c r="J289" t="s">
        <v>35</v>
      </c>
    </row>
    <row r="290" spans="1:10" x14ac:dyDescent="0.35">
      <c r="A290" t="s">
        <v>320</v>
      </c>
      <c r="B290" s="2">
        <v>43307</v>
      </c>
      <c r="C290" t="s">
        <v>30</v>
      </c>
      <c r="D290" t="s">
        <v>16</v>
      </c>
      <c r="E290" s="1">
        <v>4</v>
      </c>
      <c r="F290" s="1">
        <v>16</v>
      </c>
      <c r="G290" s="1">
        <v>64</v>
      </c>
      <c r="H290" s="1">
        <v>0.09</v>
      </c>
      <c r="I290" s="1">
        <v>6</v>
      </c>
      <c r="J290" t="s">
        <v>37</v>
      </c>
    </row>
    <row r="291" spans="1:10" x14ac:dyDescent="0.35">
      <c r="A291" t="s">
        <v>321</v>
      </c>
      <c r="B291" s="2">
        <v>43307</v>
      </c>
      <c r="C291" t="s">
        <v>15</v>
      </c>
      <c r="D291" t="s">
        <v>27</v>
      </c>
      <c r="E291" s="1">
        <v>11</v>
      </c>
      <c r="F291" s="1">
        <v>40</v>
      </c>
      <c r="G291" s="1">
        <v>440</v>
      </c>
      <c r="H291" s="1">
        <v>0.09</v>
      </c>
      <c r="I291" s="1">
        <v>40</v>
      </c>
      <c r="J291" t="s">
        <v>39</v>
      </c>
    </row>
    <row r="292" spans="1:10" x14ac:dyDescent="0.35">
      <c r="A292" t="s">
        <v>322</v>
      </c>
      <c r="B292" s="2">
        <v>43307</v>
      </c>
      <c r="C292" t="s">
        <v>19</v>
      </c>
      <c r="D292" t="s">
        <v>24</v>
      </c>
      <c r="E292" s="1">
        <v>18</v>
      </c>
      <c r="F292" s="1">
        <v>230</v>
      </c>
      <c r="G292" s="1">
        <v>4140</v>
      </c>
      <c r="H292" s="1">
        <v>0.01</v>
      </c>
      <c r="I292" s="1">
        <v>41</v>
      </c>
      <c r="J292" t="s">
        <v>41</v>
      </c>
    </row>
    <row r="293" spans="1:10" x14ac:dyDescent="0.35">
      <c r="A293" t="s">
        <v>323</v>
      </c>
      <c r="B293" s="2">
        <v>43308</v>
      </c>
      <c r="C293" t="s">
        <v>19</v>
      </c>
      <c r="D293" t="s">
        <v>16</v>
      </c>
      <c r="E293" s="1">
        <v>11</v>
      </c>
      <c r="F293" s="1">
        <v>230</v>
      </c>
      <c r="G293" s="1">
        <v>2530</v>
      </c>
      <c r="H293" s="1">
        <v>0.1</v>
      </c>
      <c r="I293" s="1">
        <v>253</v>
      </c>
      <c r="J293" t="s">
        <v>43</v>
      </c>
    </row>
    <row r="294" spans="1:10" x14ac:dyDescent="0.35">
      <c r="A294" t="s">
        <v>324</v>
      </c>
      <c r="B294" s="2">
        <v>43308</v>
      </c>
      <c r="C294" t="s">
        <v>19</v>
      </c>
      <c r="D294" t="s">
        <v>12</v>
      </c>
      <c r="E294" s="1">
        <v>15</v>
      </c>
      <c r="F294" s="1">
        <v>230</v>
      </c>
      <c r="G294" s="1">
        <v>3450</v>
      </c>
      <c r="H294" s="1">
        <v>0.05</v>
      </c>
      <c r="I294" s="1">
        <v>172</v>
      </c>
      <c r="J294" t="s">
        <v>13</v>
      </c>
    </row>
    <row r="295" spans="1:10" x14ac:dyDescent="0.35">
      <c r="A295" t="s">
        <v>325</v>
      </c>
      <c r="B295" s="2">
        <v>43308</v>
      </c>
      <c r="C295" t="s">
        <v>15</v>
      </c>
      <c r="D295" t="s">
        <v>31</v>
      </c>
      <c r="E295" s="1">
        <v>7</v>
      </c>
      <c r="F295" s="1">
        <v>40</v>
      </c>
      <c r="G295" s="1">
        <v>280</v>
      </c>
      <c r="H295" s="1">
        <v>0.04</v>
      </c>
      <c r="I295" s="1">
        <v>11</v>
      </c>
      <c r="J295" t="s">
        <v>17</v>
      </c>
    </row>
    <row r="296" spans="1:10" x14ac:dyDescent="0.35">
      <c r="A296" t="s">
        <v>326</v>
      </c>
      <c r="B296" s="2">
        <v>43308</v>
      </c>
      <c r="C296" t="s">
        <v>34</v>
      </c>
      <c r="D296" t="s">
        <v>24</v>
      </c>
      <c r="E296" s="1">
        <v>20</v>
      </c>
      <c r="F296" s="1">
        <v>150</v>
      </c>
      <c r="G296" s="1">
        <v>3000</v>
      </c>
      <c r="H296" s="1">
        <v>0.12</v>
      </c>
      <c r="I296" s="1">
        <v>360</v>
      </c>
      <c r="J296" t="s">
        <v>20</v>
      </c>
    </row>
    <row r="297" spans="1:10" x14ac:dyDescent="0.35">
      <c r="A297" t="s">
        <v>327</v>
      </c>
      <c r="B297" s="2">
        <v>43308</v>
      </c>
      <c r="C297" t="s">
        <v>11</v>
      </c>
      <c r="D297" t="s">
        <v>24</v>
      </c>
      <c r="E297" s="1">
        <v>5</v>
      </c>
      <c r="F297" s="1">
        <v>80</v>
      </c>
      <c r="G297" s="1">
        <v>400</v>
      </c>
      <c r="H297" s="1">
        <v>0.09</v>
      </c>
      <c r="I297" s="1">
        <v>36</v>
      </c>
      <c r="J297" t="s">
        <v>22</v>
      </c>
    </row>
    <row r="298" spans="1:10" x14ac:dyDescent="0.35">
      <c r="A298" t="s">
        <v>328</v>
      </c>
      <c r="B298" s="2">
        <v>43308</v>
      </c>
      <c r="C298" t="s">
        <v>11</v>
      </c>
      <c r="D298" t="s">
        <v>27</v>
      </c>
      <c r="E298" s="1">
        <v>14</v>
      </c>
      <c r="F298" s="1">
        <v>80</v>
      </c>
      <c r="G298" s="1">
        <v>1120</v>
      </c>
      <c r="H298" s="1">
        <v>0.05</v>
      </c>
      <c r="I298" s="1">
        <v>56</v>
      </c>
      <c r="J298" t="s">
        <v>25</v>
      </c>
    </row>
    <row r="299" spans="1:10" x14ac:dyDescent="0.35">
      <c r="A299" t="s">
        <v>329</v>
      </c>
      <c r="B299" s="2">
        <v>43308</v>
      </c>
      <c r="C299" t="s">
        <v>19</v>
      </c>
      <c r="D299" t="s">
        <v>27</v>
      </c>
      <c r="E299" s="1">
        <v>7</v>
      </c>
      <c r="F299" s="1">
        <v>230</v>
      </c>
      <c r="G299" s="1">
        <v>1610</v>
      </c>
      <c r="H299" s="1">
        <v>0.06</v>
      </c>
      <c r="I299" s="1">
        <v>97</v>
      </c>
      <c r="J299" t="s">
        <v>28</v>
      </c>
    </row>
    <row r="300" spans="1:10" x14ac:dyDescent="0.35">
      <c r="A300" t="s">
        <v>330</v>
      </c>
      <c r="B300" s="2">
        <v>43308</v>
      </c>
      <c r="C300" t="s">
        <v>15</v>
      </c>
      <c r="D300" t="s">
        <v>27</v>
      </c>
      <c r="E300" s="1">
        <v>13</v>
      </c>
      <c r="F300" s="1">
        <v>40</v>
      </c>
      <c r="G300" s="1">
        <v>520</v>
      </c>
      <c r="H300" s="1">
        <v>0.06</v>
      </c>
      <c r="I300" s="1">
        <v>31</v>
      </c>
      <c r="J300" t="s">
        <v>32</v>
      </c>
    </row>
    <row r="301" spans="1:10" x14ac:dyDescent="0.35">
      <c r="A301" t="s">
        <v>331</v>
      </c>
      <c r="B301" s="2">
        <v>43309</v>
      </c>
      <c r="C301" t="s">
        <v>30</v>
      </c>
      <c r="D301" t="s">
        <v>16</v>
      </c>
      <c r="E301" s="1">
        <v>15</v>
      </c>
      <c r="F301" s="1">
        <v>16</v>
      </c>
      <c r="G301" s="1">
        <v>240</v>
      </c>
      <c r="H301" s="1">
        <v>0.02</v>
      </c>
      <c r="I301" s="1">
        <v>5</v>
      </c>
      <c r="J301" t="s">
        <v>35</v>
      </c>
    </row>
    <row r="302" spans="1:10" x14ac:dyDescent="0.35">
      <c r="A302" t="s">
        <v>332</v>
      </c>
      <c r="B302" s="2">
        <v>43309</v>
      </c>
      <c r="C302" t="s">
        <v>30</v>
      </c>
      <c r="D302" t="s">
        <v>27</v>
      </c>
      <c r="E302" s="1">
        <v>5</v>
      </c>
      <c r="F302" s="1">
        <v>16</v>
      </c>
      <c r="G302" s="1">
        <v>80</v>
      </c>
      <c r="H302" s="1">
        <v>0.09</v>
      </c>
      <c r="I302" s="1">
        <v>7</v>
      </c>
      <c r="J302" t="s">
        <v>37</v>
      </c>
    </row>
    <row r="303" spans="1:10" x14ac:dyDescent="0.35">
      <c r="A303" t="s">
        <v>333</v>
      </c>
      <c r="B303" s="2">
        <v>43309</v>
      </c>
      <c r="C303" t="s">
        <v>30</v>
      </c>
      <c r="D303" t="s">
        <v>12</v>
      </c>
      <c r="E303" s="1">
        <v>22</v>
      </c>
      <c r="F303" s="1">
        <v>16</v>
      </c>
      <c r="G303" s="1">
        <v>352</v>
      </c>
      <c r="H303" s="1">
        <v>0.06</v>
      </c>
      <c r="I303" s="1">
        <v>21</v>
      </c>
      <c r="J303" t="s">
        <v>39</v>
      </c>
    </row>
    <row r="304" spans="1:10" x14ac:dyDescent="0.35">
      <c r="A304" t="s">
        <v>334</v>
      </c>
      <c r="B304" s="2">
        <v>43309</v>
      </c>
      <c r="C304" t="s">
        <v>34</v>
      </c>
      <c r="D304" t="s">
        <v>24</v>
      </c>
      <c r="E304" s="1">
        <v>15</v>
      </c>
      <c r="F304" s="1">
        <v>150</v>
      </c>
      <c r="G304" s="1">
        <v>2250</v>
      </c>
      <c r="H304" s="1">
        <v>0.05</v>
      </c>
      <c r="I304" s="1">
        <v>112</v>
      </c>
      <c r="J304" t="s">
        <v>41</v>
      </c>
    </row>
    <row r="305" spans="1:10" x14ac:dyDescent="0.35">
      <c r="A305" t="s">
        <v>335</v>
      </c>
      <c r="B305" s="2">
        <v>43309</v>
      </c>
      <c r="C305" t="s">
        <v>19</v>
      </c>
      <c r="D305" t="s">
        <v>24</v>
      </c>
      <c r="E305" s="1">
        <v>5</v>
      </c>
      <c r="F305" s="1">
        <v>230</v>
      </c>
      <c r="G305" s="1">
        <v>1150</v>
      </c>
      <c r="H305" s="1">
        <v>0.01</v>
      </c>
      <c r="I305" s="1">
        <v>12</v>
      </c>
      <c r="J305" t="s">
        <v>43</v>
      </c>
    </row>
    <row r="306" spans="1:10" x14ac:dyDescent="0.35">
      <c r="A306" t="s">
        <v>336</v>
      </c>
      <c r="B306" s="2">
        <v>43309</v>
      </c>
      <c r="C306" t="s">
        <v>15</v>
      </c>
      <c r="D306" t="s">
        <v>12</v>
      </c>
      <c r="E306" s="1">
        <v>11</v>
      </c>
      <c r="F306" s="1">
        <v>40</v>
      </c>
      <c r="G306" s="1">
        <v>440</v>
      </c>
      <c r="H306" s="1">
        <v>0.04</v>
      </c>
      <c r="I306" s="1">
        <v>18</v>
      </c>
      <c r="J306" t="s">
        <v>13</v>
      </c>
    </row>
    <row r="307" spans="1:10" x14ac:dyDescent="0.35">
      <c r="A307" t="s">
        <v>337</v>
      </c>
      <c r="B307" s="2">
        <v>43309</v>
      </c>
      <c r="C307" t="s">
        <v>34</v>
      </c>
      <c r="D307" t="s">
        <v>16</v>
      </c>
      <c r="E307" s="1">
        <v>13</v>
      </c>
      <c r="F307" s="1">
        <v>150</v>
      </c>
      <c r="G307" s="1">
        <v>1950</v>
      </c>
      <c r="H307" s="1">
        <v>0.08</v>
      </c>
      <c r="I307" s="1">
        <v>156</v>
      </c>
      <c r="J307" t="s">
        <v>17</v>
      </c>
    </row>
    <row r="308" spans="1:10" x14ac:dyDescent="0.35">
      <c r="A308" t="s">
        <v>338</v>
      </c>
      <c r="B308" s="2">
        <v>43309</v>
      </c>
      <c r="C308" t="s">
        <v>30</v>
      </c>
      <c r="D308" t="s">
        <v>31</v>
      </c>
      <c r="E308" s="1">
        <v>13</v>
      </c>
      <c r="F308" s="1">
        <v>16</v>
      </c>
      <c r="G308" s="1">
        <v>208</v>
      </c>
      <c r="H308" s="1">
        <v>7.0000000000000007E-2</v>
      </c>
      <c r="I308" s="1">
        <v>15</v>
      </c>
      <c r="J308" t="s">
        <v>20</v>
      </c>
    </row>
    <row r="309" spans="1:10" x14ac:dyDescent="0.35">
      <c r="A309" t="s">
        <v>339</v>
      </c>
      <c r="B309" s="2">
        <v>43309</v>
      </c>
      <c r="C309" t="s">
        <v>30</v>
      </c>
      <c r="D309" t="s">
        <v>31</v>
      </c>
      <c r="E309" s="1">
        <v>3</v>
      </c>
      <c r="F309" s="1">
        <v>16</v>
      </c>
      <c r="G309" s="1">
        <v>48</v>
      </c>
      <c r="H309" s="1">
        <v>0.03</v>
      </c>
      <c r="I309" s="1">
        <v>1</v>
      </c>
      <c r="J309" t="s">
        <v>22</v>
      </c>
    </row>
    <row r="310" spans="1:10" x14ac:dyDescent="0.35">
      <c r="A310" t="s">
        <v>340</v>
      </c>
      <c r="B310" s="2">
        <v>43310</v>
      </c>
      <c r="C310" t="s">
        <v>34</v>
      </c>
      <c r="D310" t="s">
        <v>16</v>
      </c>
      <c r="E310" s="1">
        <v>2</v>
      </c>
      <c r="F310" s="1">
        <v>150</v>
      </c>
      <c r="G310" s="1">
        <v>300</v>
      </c>
      <c r="H310" s="1">
        <v>0.09</v>
      </c>
      <c r="I310" s="1">
        <v>27</v>
      </c>
      <c r="J310" t="s">
        <v>25</v>
      </c>
    </row>
    <row r="311" spans="1:10" x14ac:dyDescent="0.35">
      <c r="A311" t="s">
        <v>341</v>
      </c>
      <c r="B311" s="2">
        <v>43310</v>
      </c>
      <c r="C311" t="s">
        <v>19</v>
      </c>
      <c r="D311" t="s">
        <v>24</v>
      </c>
      <c r="E311" s="1">
        <v>14</v>
      </c>
      <c r="F311" s="1">
        <v>230</v>
      </c>
      <c r="G311" s="1">
        <v>3220</v>
      </c>
      <c r="H311" s="1">
        <v>0.03</v>
      </c>
      <c r="I311" s="1">
        <v>97</v>
      </c>
      <c r="J311" t="s">
        <v>28</v>
      </c>
    </row>
    <row r="312" spans="1:10" x14ac:dyDescent="0.35">
      <c r="A312" t="s">
        <v>342</v>
      </c>
      <c r="B312" s="2">
        <v>43310</v>
      </c>
      <c r="C312" t="s">
        <v>15</v>
      </c>
      <c r="D312" t="s">
        <v>24</v>
      </c>
      <c r="E312" s="1">
        <v>11</v>
      </c>
      <c r="F312" s="1">
        <v>40</v>
      </c>
      <c r="G312" s="1">
        <v>440</v>
      </c>
      <c r="H312" s="1">
        <v>0.12</v>
      </c>
      <c r="I312" s="1">
        <v>53</v>
      </c>
      <c r="J312" t="s">
        <v>32</v>
      </c>
    </row>
    <row r="313" spans="1:10" x14ac:dyDescent="0.35">
      <c r="A313" t="s">
        <v>343</v>
      </c>
      <c r="B313" s="2">
        <v>43310</v>
      </c>
      <c r="C313" t="s">
        <v>30</v>
      </c>
      <c r="D313" t="s">
        <v>31</v>
      </c>
      <c r="E313" s="1">
        <v>3</v>
      </c>
      <c r="F313" s="1">
        <v>16</v>
      </c>
      <c r="G313" s="1">
        <v>48</v>
      </c>
      <c r="H313" s="1">
        <v>0.06</v>
      </c>
      <c r="I313" s="1">
        <v>3</v>
      </c>
      <c r="J313" t="s">
        <v>35</v>
      </c>
    </row>
    <row r="314" spans="1:10" x14ac:dyDescent="0.35">
      <c r="A314" t="s">
        <v>344</v>
      </c>
      <c r="B314" s="2">
        <v>43310</v>
      </c>
      <c r="C314" t="s">
        <v>15</v>
      </c>
      <c r="D314" t="s">
        <v>31</v>
      </c>
      <c r="E314" s="1">
        <v>18</v>
      </c>
      <c r="F314" s="1">
        <v>40</v>
      </c>
      <c r="G314" s="1">
        <v>720</v>
      </c>
      <c r="H314" s="1">
        <v>0.06</v>
      </c>
      <c r="I314" s="1">
        <v>43</v>
      </c>
      <c r="J314" t="s">
        <v>37</v>
      </c>
    </row>
    <row r="315" spans="1:10" x14ac:dyDescent="0.35">
      <c r="A315" t="s">
        <v>345</v>
      </c>
      <c r="B315" s="2">
        <v>43310</v>
      </c>
      <c r="C315" t="s">
        <v>19</v>
      </c>
      <c r="D315" t="s">
        <v>31</v>
      </c>
      <c r="E315" s="1">
        <v>7</v>
      </c>
      <c r="F315" s="1">
        <v>230</v>
      </c>
      <c r="G315" s="1">
        <v>1610</v>
      </c>
      <c r="H315" s="1">
        <v>0.05</v>
      </c>
      <c r="I315" s="1">
        <v>80</v>
      </c>
      <c r="J315" t="s">
        <v>39</v>
      </c>
    </row>
    <row r="316" spans="1:10" x14ac:dyDescent="0.35">
      <c r="A316" t="s">
        <v>346</v>
      </c>
      <c r="B316" s="2">
        <v>43310</v>
      </c>
      <c r="C316" t="s">
        <v>15</v>
      </c>
      <c r="D316" t="s">
        <v>31</v>
      </c>
      <c r="E316" s="1">
        <v>23</v>
      </c>
      <c r="F316" s="1">
        <v>40</v>
      </c>
      <c r="G316" s="1">
        <v>920</v>
      </c>
      <c r="H316" s="1">
        <v>0.05</v>
      </c>
      <c r="I316" s="1">
        <v>46</v>
      </c>
      <c r="J316" t="s">
        <v>41</v>
      </c>
    </row>
    <row r="317" spans="1:10" x14ac:dyDescent="0.35">
      <c r="A317" t="s">
        <v>347</v>
      </c>
      <c r="B317" s="2">
        <v>43311</v>
      </c>
      <c r="C317" t="s">
        <v>19</v>
      </c>
      <c r="D317" t="s">
        <v>31</v>
      </c>
      <c r="E317" s="1">
        <v>2</v>
      </c>
      <c r="F317" s="1">
        <v>230</v>
      </c>
      <c r="G317" s="1">
        <v>460</v>
      </c>
      <c r="H317" s="1">
        <v>0.08</v>
      </c>
      <c r="I317" s="1">
        <v>37</v>
      </c>
      <c r="J317" t="s">
        <v>43</v>
      </c>
    </row>
    <row r="318" spans="1:10" x14ac:dyDescent="0.35">
      <c r="A318" t="s">
        <v>348</v>
      </c>
      <c r="B318" s="2">
        <v>43311</v>
      </c>
      <c r="C318" t="s">
        <v>15</v>
      </c>
      <c r="D318" t="s">
        <v>27</v>
      </c>
      <c r="E318" s="1">
        <v>18</v>
      </c>
      <c r="F318" s="1">
        <v>40</v>
      </c>
      <c r="G318" s="1">
        <v>720</v>
      </c>
      <c r="H318" s="1">
        <v>0.04</v>
      </c>
      <c r="I318" s="1">
        <v>29</v>
      </c>
      <c r="J318" t="s">
        <v>13</v>
      </c>
    </row>
    <row r="319" spans="1:10" x14ac:dyDescent="0.35">
      <c r="A319" t="s">
        <v>349</v>
      </c>
      <c r="B319" s="2">
        <v>43311</v>
      </c>
      <c r="C319" t="s">
        <v>19</v>
      </c>
      <c r="D319" t="s">
        <v>16</v>
      </c>
      <c r="E319" s="1">
        <v>7</v>
      </c>
      <c r="F319" s="1">
        <v>230</v>
      </c>
      <c r="G319" s="1">
        <v>1610</v>
      </c>
      <c r="H319" s="1">
        <v>0.05</v>
      </c>
      <c r="I319" s="1">
        <v>80</v>
      </c>
      <c r="J319" t="s">
        <v>17</v>
      </c>
    </row>
    <row r="320" spans="1:10" x14ac:dyDescent="0.35">
      <c r="A320" t="s">
        <v>350</v>
      </c>
      <c r="B320" s="2">
        <v>43311</v>
      </c>
      <c r="C320" t="s">
        <v>15</v>
      </c>
      <c r="D320" t="s">
        <v>31</v>
      </c>
      <c r="E320" s="1">
        <v>14</v>
      </c>
      <c r="F320" s="1">
        <v>40</v>
      </c>
      <c r="G320" s="1">
        <v>560</v>
      </c>
      <c r="H320" s="1">
        <v>0.11</v>
      </c>
      <c r="I320" s="1">
        <v>62</v>
      </c>
      <c r="J320" t="s">
        <v>20</v>
      </c>
    </row>
    <row r="321" spans="1:10" x14ac:dyDescent="0.35">
      <c r="A321" t="s">
        <v>351</v>
      </c>
      <c r="B321" s="2">
        <v>43311</v>
      </c>
      <c r="C321" t="s">
        <v>34</v>
      </c>
      <c r="D321" t="s">
        <v>16</v>
      </c>
      <c r="E321" s="1">
        <v>13</v>
      </c>
      <c r="F321" s="1">
        <v>150</v>
      </c>
      <c r="G321" s="1">
        <v>1950</v>
      </c>
      <c r="H321" s="1">
        <v>0.02</v>
      </c>
      <c r="I321" s="1">
        <v>39</v>
      </c>
      <c r="J321" t="s">
        <v>22</v>
      </c>
    </row>
    <row r="322" spans="1:10" x14ac:dyDescent="0.35">
      <c r="A322" t="s">
        <v>352</v>
      </c>
      <c r="B322" s="2">
        <v>43311</v>
      </c>
      <c r="C322" t="s">
        <v>11</v>
      </c>
      <c r="D322" t="s">
        <v>12</v>
      </c>
      <c r="E322" s="1">
        <v>12</v>
      </c>
      <c r="F322" s="1">
        <v>80</v>
      </c>
      <c r="G322" s="1">
        <v>960</v>
      </c>
      <c r="H322" s="1">
        <v>0.04</v>
      </c>
      <c r="I322" s="1">
        <v>38</v>
      </c>
      <c r="J322" t="s">
        <v>25</v>
      </c>
    </row>
    <row r="323" spans="1:10" x14ac:dyDescent="0.35">
      <c r="A323" t="s">
        <v>353</v>
      </c>
      <c r="B323" s="2">
        <v>43311</v>
      </c>
      <c r="C323" t="s">
        <v>19</v>
      </c>
      <c r="D323" t="s">
        <v>31</v>
      </c>
      <c r="E323" s="1">
        <v>20</v>
      </c>
      <c r="F323" s="1">
        <v>230</v>
      </c>
      <c r="G323" s="1">
        <v>4600</v>
      </c>
      <c r="H323" s="1">
        <v>0.09</v>
      </c>
      <c r="I323" s="1">
        <v>414</v>
      </c>
      <c r="J323" t="s">
        <v>28</v>
      </c>
    </row>
    <row r="324" spans="1:10" x14ac:dyDescent="0.35">
      <c r="A324" t="s">
        <v>354</v>
      </c>
      <c r="B324" s="2">
        <v>43311</v>
      </c>
      <c r="C324" t="s">
        <v>15</v>
      </c>
      <c r="D324" t="s">
        <v>31</v>
      </c>
      <c r="E324" s="1">
        <v>5</v>
      </c>
      <c r="F324" s="1">
        <v>40</v>
      </c>
      <c r="G324" s="1">
        <v>200</v>
      </c>
      <c r="H324" s="1">
        <v>0.03</v>
      </c>
      <c r="I324" s="1">
        <v>6</v>
      </c>
      <c r="J324" t="s">
        <v>32</v>
      </c>
    </row>
    <row r="325" spans="1:10" x14ac:dyDescent="0.35">
      <c r="A325" t="s">
        <v>355</v>
      </c>
      <c r="B325" s="2">
        <v>43311</v>
      </c>
      <c r="C325" t="s">
        <v>30</v>
      </c>
      <c r="D325" t="s">
        <v>31</v>
      </c>
      <c r="E325" s="1">
        <v>2</v>
      </c>
      <c r="F325" s="1">
        <v>16</v>
      </c>
      <c r="G325" s="1">
        <v>32</v>
      </c>
      <c r="H325" s="1">
        <v>0.04</v>
      </c>
      <c r="I325" s="1">
        <v>1</v>
      </c>
      <c r="J325" t="s">
        <v>35</v>
      </c>
    </row>
    <row r="326" spans="1:10" x14ac:dyDescent="0.35">
      <c r="A326" t="s">
        <v>356</v>
      </c>
      <c r="B326" s="2">
        <v>43282</v>
      </c>
      <c r="C326" t="s">
        <v>11</v>
      </c>
      <c r="D326" t="s">
        <v>24</v>
      </c>
      <c r="E326" s="1">
        <v>10</v>
      </c>
      <c r="F326" s="1">
        <v>80</v>
      </c>
      <c r="G326" s="1">
        <v>800</v>
      </c>
      <c r="H326" s="1">
        <v>0.08</v>
      </c>
      <c r="I326" s="1">
        <v>64</v>
      </c>
      <c r="J326" t="s">
        <v>37</v>
      </c>
    </row>
    <row r="327" spans="1:10" x14ac:dyDescent="0.35">
      <c r="A327" t="s">
        <v>357</v>
      </c>
      <c r="B327" s="2">
        <v>43282</v>
      </c>
      <c r="C327" t="s">
        <v>15</v>
      </c>
      <c r="D327" t="s">
        <v>27</v>
      </c>
      <c r="E327" s="1">
        <v>18</v>
      </c>
      <c r="F327" s="1">
        <v>40</v>
      </c>
      <c r="G327" s="1">
        <v>720</v>
      </c>
      <c r="H327" s="1">
        <v>0.06</v>
      </c>
      <c r="I327" s="1">
        <v>43</v>
      </c>
      <c r="J327" t="s">
        <v>39</v>
      </c>
    </row>
    <row r="328" spans="1:10" x14ac:dyDescent="0.35">
      <c r="A328" t="s">
        <v>358</v>
      </c>
      <c r="B328" s="2">
        <v>43282</v>
      </c>
      <c r="C328" t="s">
        <v>19</v>
      </c>
      <c r="D328" t="s">
        <v>16</v>
      </c>
      <c r="E328" s="1">
        <v>7</v>
      </c>
      <c r="F328" s="1">
        <v>230</v>
      </c>
      <c r="G328" s="1">
        <v>1610</v>
      </c>
      <c r="H328" s="1">
        <v>0.08</v>
      </c>
      <c r="I328" s="1">
        <v>129</v>
      </c>
      <c r="J328" t="s">
        <v>41</v>
      </c>
    </row>
    <row r="329" spans="1:10" x14ac:dyDescent="0.35">
      <c r="A329" t="s">
        <v>359</v>
      </c>
      <c r="B329" s="2">
        <v>43282</v>
      </c>
      <c r="C329" t="s">
        <v>15</v>
      </c>
      <c r="D329" t="s">
        <v>27</v>
      </c>
      <c r="E329" s="1">
        <v>15</v>
      </c>
      <c r="F329" s="1">
        <v>40</v>
      </c>
      <c r="G329" s="1">
        <v>600</v>
      </c>
      <c r="H329" s="1">
        <v>0.03</v>
      </c>
      <c r="I329" s="1">
        <v>18</v>
      </c>
      <c r="J329" t="s">
        <v>43</v>
      </c>
    </row>
    <row r="330" spans="1:10" x14ac:dyDescent="0.35">
      <c r="A330" t="s">
        <v>360</v>
      </c>
      <c r="B330" s="2">
        <v>43282</v>
      </c>
      <c r="C330" t="s">
        <v>30</v>
      </c>
      <c r="D330" t="s">
        <v>24</v>
      </c>
      <c r="E330" s="1">
        <v>6</v>
      </c>
      <c r="F330" s="1">
        <v>16</v>
      </c>
      <c r="G330" s="1">
        <v>96</v>
      </c>
      <c r="H330" s="1">
        <v>0.01</v>
      </c>
      <c r="I330" s="1">
        <v>1</v>
      </c>
      <c r="J330" t="s">
        <v>13</v>
      </c>
    </row>
    <row r="331" spans="1:10" x14ac:dyDescent="0.35">
      <c r="A331" t="s">
        <v>361</v>
      </c>
      <c r="B331" s="2">
        <v>43282</v>
      </c>
      <c r="C331" t="s">
        <v>34</v>
      </c>
      <c r="D331" t="s">
        <v>27</v>
      </c>
      <c r="E331" s="1">
        <v>9</v>
      </c>
      <c r="F331" s="1">
        <v>150</v>
      </c>
      <c r="G331" s="1">
        <v>1350</v>
      </c>
      <c r="H331" s="1">
        <v>0.02</v>
      </c>
      <c r="I331" s="1">
        <v>27</v>
      </c>
      <c r="J331" t="s">
        <v>17</v>
      </c>
    </row>
    <row r="332" spans="1:10" x14ac:dyDescent="0.35">
      <c r="A332" t="s">
        <v>362</v>
      </c>
      <c r="B332" s="2">
        <v>43282</v>
      </c>
      <c r="C332" t="s">
        <v>30</v>
      </c>
      <c r="D332" t="s">
        <v>31</v>
      </c>
      <c r="E332" s="1">
        <v>15</v>
      </c>
      <c r="F332" s="1">
        <v>16</v>
      </c>
      <c r="G332" s="1">
        <v>240</v>
      </c>
      <c r="H332" s="1">
        <v>0.01</v>
      </c>
      <c r="I332" s="1">
        <v>2</v>
      </c>
      <c r="J332" t="s">
        <v>20</v>
      </c>
    </row>
    <row r="333" spans="1:10" x14ac:dyDescent="0.35">
      <c r="A333" t="s">
        <v>363</v>
      </c>
      <c r="B333" s="2">
        <v>43282</v>
      </c>
      <c r="C333" t="s">
        <v>11</v>
      </c>
      <c r="D333" t="s">
        <v>31</v>
      </c>
      <c r="E333" s="1">
        <v>22</v>
      </c>
      <c r="F333" s="1">
        <v>80</v>
      </c>
      <c r="G333" s="1">
        <v>1760</v>
      </c>
      <c r="H333" s="1">
        <v>0.11</v>
      </c>
      <c r="I333" s="1">
        <v>194</v>
      </c>
      <c r="J333" t="s">
        <v>22</v>
      </c>
    </row>
    <row r="334" spans="1:10" x14ac:dyDescent="0.35">
      <c r="A334" t="s">
        <v>364</v>
      </c>
      <c r="B334" s="2">
        <v>43282</v>
      </c>
      <c r="C334" t="s">
        <v>34</v>
      </c>
      <c r="D334" t="s">
        <v>16</v>
      </c>
      <c r="E334" s="1">
        <v>13</v>
      </c>
      <c r="F334" s="1">
        <v>150</v>
      </c>
      <c r="G334" s="1">
        <v>1950</v>
      </c>
      <c r="H334" s="1">
        <v>0.02</v>
      </c>
      <c r="I334" s="1">
        <v>39</v>
      </c>
      <c r="J334" t="s">
        <v>25</v>
      </c>
    </row>
    <row r="335" spans="1:10" x14ac:dyDescent="0.35">
      <c r="A335" t="s">
        <v>365</v>
      </c>
      <c r="B335" s="2">
        <v>43283</v>
      </c>
      <c r="C335" t="s">
        <v>30</v>
      </c>
      <c r="D335" t="s">
        <v>24</v>
      </c>
      <c r="E335" s="1">
        <v>12</v>
      </c>
      <c r="F335" s="1">
        <v>16</v>
      </c>
      <c r="G335" s="1">
        <v>192</v>
      </c>
      <c r="H335" s="1">
        <v>0.03</v>
      </c>
      <c r="I335" s="1">
        <v>6</v>
      </c>
      <c r="J335" t="s">
        <v>28</v>
      </c>
    </row>
    <row r="336" spans="1:10" x14ac:dyDescent="0.35">
      <c r="A336" t="s">
        <v>366</v>
      </c>
      <c r="B336" s="2">
        <v>43283</v>
      </c>
      <c r="C336" t="s">
        <v>15</v>
      </c>
      <c r="D336" t="s">
        <v>27</v>
      </c>
      <c r="E336" s="1">
        <v>4</v>
      </c>
      <c r="F336" s="1">
        <v>40</v>
      </c>
      <c r="G336" s="1">
        <v>160</v>
      </c>
      <c r="H336" s="1">
        <v>0.05</v>
      </c>
      <c r="I336" s="1">
        <v>8</v>
      </c>
      <c r="J336" t="s">
        <v>32</v>
      </c>
    </row>
    <row r="337" spans="1:10" x14ac:dyDescent="0.35">
      <c r="A337" t="s">
        <v>367</v>
      </c>
      <c r="B337" s="2">
        <v>43283</v>
      </c>
      <c r="C337" t="s">
        <v>19</v>
      </c>
      <c r="D337" t="s">
        <v>16</v>
      </c>
      <c r="E337" s="1">
        <v>19</v>
      </c>
      <c r="F337" s="1">
        <v>230</v>
      </c>
      <c r="G337" s="1">
        <v>4370</v>
      </c>
      <c r="H337" s="1">
        <v>0.11</v>
      </c>
      <c r="I337" s="1">
        <v>481</v>
      </c>
      <c r="J337" t="s">
        <v>35</v>
      </c>
    </row>
    <row r="338" spans="1:10" x14ac:dyDescent="0.35">
      <c r="A338" t="s">
        <v>368</v>
      </c>
      <c r="B338" s="2">
        <v>43283</v>
      </c>
      <c r="C338" t="s">
        <v>15</v>
      </c>
      <c r="D338" t="s">
        <v>16</v>
      </c>
      <c r="E338" s="1">
        <v>4</v>
      </c>
      <c r="F338" s="1">
        <v>40</v>
      </c>
      <c r="G338" s="1">
        <v>160</v>
      </c>
      <c r="H338" s="1">
        <v>0.06</v>
      </c>
      <c r="I338" s="1">
        <v>10</v>
      </c>
      <c r="J338" t="s">
        <v>37</v>
      </c>
    </row>
    <row r="339" spans="1:10" x14ac:dyDescent="0.35">
      <c r="A339" t="s">
        <v>369</v>
      </c>
      <c r="B339" s="2">
        <v>43283</v>
      </c>
      <c r="C339" t="s">
        <v>30</v>
      </c>
      <c r="D339" t="s">
        <v>24</v>
      </c>
      <c r="E339" s="1">
        <v>6</v>
      </c>
      <c r="F339" s="1">
        <v>16</v>
      </c>
      <c r="G339" s="1">
        <v>96</v>
      </c>
      <c r="H339" s="1">
        <v>7.0000000000000007E-2</v>
      </c>
      <c r="I339" s="1">
        <v>7</v>
      </c>
      <c r="J339" t="s">
        <v>39</v>
      </c>
    </row>
    <row r="340" spans="1:10" x14ac:dyDescent="0.35">
      <c r="A340" t="s">
        <v>370</v>
      </c>
      <c r="B340" s="2">
        <v>43283</v>
      </c>
      <c r="C340" t="s">
        <v>19</v>
      </c>
      <c r="D340" t="s">
        <v>24</v>
      </c>
      <c r="E340" s="1">
        <v>15</v>
      </c>
      <c r="F340" s="1">
        <v>230</v>
      </c>
      <c r="G340" s="1">
        <v>3450</v>
      </c>
      <c r="H340" s="1">
        <v>0.11</v>
      </c>
      <c r="I340" s="1">
        <v>380</v>
      </c>
      <c r="J340" t="s">
        <v>41</v>
      </c>
    </row>
    <row r="341" spans="1:10" x14ac:dyDescent="0.35">
      <c r="A341" t="s">
        <v>371</v>
      </c>
      <c r="B341" s="2">
        <v>43283</v>
      </c>
      <c r="C341" t="s">
        <v>11</v>
      </c>
      <c r="D341" t="s">
        <v>24</v>
      </c>
      <c r="E341" s="1">
        <v>16</v>
      </c>
      <c r="F341" s="1">
        <v>80</v>
      </c>
      <c r="G341" s="1">
        <v>1280</v>
      </c>
      <c r="H341" s="1">
        <v>0.04</v>
      </c>
      <c r="I341" s="1">
        <v>51</v>
      </c>
      <c r="J341" t="s">
        <v>43</v>
      </c>
    </row>
    <row r="342" spans="1:10" x14ac:dyDescent="0.35">
      <c r="A342" t="s">
        <v>372</v>
      </c>
      <c r="B342" s="2">
        <v>43283</v>
      </c>
      <c r="C342" t="s">
        <v>15</v>
      </c>
      <c r="D342" t="s">
        <v>12</v>
      </c>
      <c r="E342" s="1">
        <v>7</v>
      </c>
      <c r="F342" s="1">
        <v>40</v>
      </c>
      <c r="G342" s="1">
        <v>280</v>
      </c>
      <c r="H342" s="1">
        <v>0.1</v>
      </c>
      <c r="I342" s="1">
        <v>28</v>
      </c>
      <c r="J342" t="s">
        <v>13</v>
      </c>
    </row>
    <row r="343" spans="1:10" x14ac:dyDescent="0.35">
      <c r="A343" t="s">
        <v>373</v>
      </c>
      <c r="B343" s="2">
        <v>43283</v>
      </c>
      <c r="C343" t="s">
        <v>15</v>
      </c>
      <c r="D343" t="s">
        <v>24</v>
      </c>
      <c r="E343" s="1">
        <v>11</v>
      </c>
      <c r="F343" s="1">
        <v>40</v>
      </c>
      <c r="G343" s="1">
        <v>440</v>
      </c>
      <c r="H343" s="1">
        <v>0.05</v>
      </c>
      <c r="I343" s="1">
        <v>22</v>
      </c>
      <c r="J343" t="s">
        <v>17</v>
      </c>
    </row>
    <row r="344" spans="1:10" x14ac:dyDescent="0.35">
      <c r="A344" t="s">
        <v>374</v>
      </c>
      <c r="B344" s="2">
        <v>43283</v>
      </c>
      <c r="C344" t="s">
        <v>11</v>
      </c>
      <c r="D344" t="s">
        <v>31</v>
      </c>
      <c r="E344" s="1">
        <v>9</v>
      </c>
      <c r="F344" s="1">
        <v>80</v>
      </c>
      <c r="G344" s="1">
        <v>720</v>
      </c>
      <c r="H344" s="1">
        <v>0.06</v>
      </c>
      <c r="I344" s="1">
        <v>43</v>
      </c>
      <c r="J344" t="s">
        <v>20</v>
      </c>
    </row>
    <row r="345" spans="1:10" x14ac:dyDescent="0.35">
      <c r="A345" t="s">
        <v>375</v>
      </c>
      <c r="B345" s="2">
        <v>43283</v>
      </c>
      <c r="C345" t="s">
        <v>11</v>
      </c>
      <c r="D345" t="s">
        <v>16</v>
      </c>
      <c r="E345" s="1">
        <v>21</v>
      </c>
      <c r="F345" s="1">
        <v>80</v>
      </c>
      <c r="G345" s="1">
        <v>1680</v>
      </c>
      <c r="H345" s="1">
        <v>0.04</v>
      </c>
      <c r="I345" s="1">
        <v>67</v>
      </c>
      <c r="J345" t="s">
        <v>22</v>
      </c>
    </row>
    <row r="346" spans="1:10" x14ac:dyDescent="0.35">
      <c r="A346" t="s">
        <v>376</v>
      </c>
      <c r="B346" s="2">
        <v>43283</v>
      </c>
      <c r="C346" t="s">
        <v>15</v>
      </c>
      <c r="D346" t="s">
        <v>24</v>
      </c>
      <c r="E346" s="1">
        <v>2</v>
      </c>
      <c r="F346" s="1">
        <v>40</v>
      </c>
      <c r="G346" s="1">
        <v>80</v>
      </c>
      <c r="H346" s="1">
        <v>0.03</v>
      </c>
      <c r="I346" s="1">
        <v>2</v>
      </c>
      <c r="J346" t="s">
        <v>25</v>
      </c>
    </row>
    <row r="347" spans="1:10" x14ac:dyDescent="0.35">
      <c r="A347" t="s">
        <v>377</v>
      </c>
      <c r="B347" s="2">
        <v>43284</v>
      </c>
      <c r="C347" t="s">
        <v>30</v>
      </c>
      <c r="D347" t="s">
        <v>24</v>
      </c>
      <c r="E347" s="1">
        <v>17</v>
      </c>
      <c r="F347" s="1">
        <v>16</v>
      </c>
      <c r="G347" s="1">
        <v>272</v>
      </c>
      <c r="H347" s="1">
        <v>0.05</v>
      </c>
      <c r="I347" s="1">
        <v>14</v>
      </c>
      <c r="J347" t="s">
        <v>28</v>
      </c>
    </row>
    <row r="348" spans="1:10" x14ac:dyDescent="0.35">
      <c r="A348" t="s">
        <v>378</v>
      </c>
      <c r="B348" s="2">
        <v>43284</v>
      </c>
      <c r="C348" t="s">
        <v>15</v>
      </c>
      <c r="D348" t="s">
        <v>12</v>
      </c>
      <c r="E348" s="1">
        <v>18</v>
      </c>
      <c r="F348" s="1">
        <v>40</v>
      </c>
      <c r="G348" s="1">
        <v>720</v>
      </c>
      <c r="H348" s="1">
        <v>0.06</v>
      </c>
      <c r="I348" s="1">
        <v>43</v>
      </c>
      <c r="J348" t="s">
        <v>32</v>
      </c>
    </row>
    <row r="349" spans="1:10" x14ac:dyDescent="0.35">
      <c r="A349" t="s">
        <v>379</v>
      </c>
      <c r="B349" s="2">
        <v>43284</v>
      </c>
      <c r="C349" t="s">
        <v>15</v>
      </c>
      <c r="D349" t="s">
        <v>12</v>
      </c>
      <c r="E349" s="1">
        <v>9</v>
      </c>
      <c r="F349" s="1">
        <v>40</v>
      </c>
      <c r="G349" s="1">
        <v>360</v>
      </c>
      <c r="H349" s="1">
        <v>0.01</v>
      </c>
      <c r="I349" s="1">
        <v>4</v>
      </c>
      <c r="J349" t="s">
        <v>35</v>
      </c>
    </row>
    <row r="350" spans="1:10" x14ac:dyDescent="0.35">
      <c r="A350" t="s">
        <v>380</v>
      </c>
      <c r="B350" s="2">
        <v>43284</v>
      </c>
      <c r="C350" t="s">
        <v>15</v>
      </c>
      <c r="D350" t="s">
        <v>16</v>
      </c>
      <c r="E350" s="1">
        <v>7</v>
      </c>
      <c r="F350" s="1">
        <v>40</v>
      </c>
      <c r="G350" s="1">
        <v>280</v>
      </c>
      <c r="H350" s="1">
        <v>0.01</v>
      </c>
      <c r="I350" s="1">
        <v>3</v>
      </c>
      <c r="J350" t="s">
        <v>37</v>
      </c>
    </row>
    <row r="351" spans="1:10" x14ac:dyDescent="0.35">
      <c r="A351" t="s">
        <v>381</v>
      </c>
      <c r="B351" s="2">
        <v>43284</v>
      </c>
      <c r="C351" t="s">
        <v>19</v>
      </c>
      <c r="D351" t="s">
        <v>24</v>
      </c>
      <c r="E351" s="1">
        <v>12</v>
      </c>
      <c r="F351" s="1">
        <v>230</v>
      </c>
      <c r="G351" s="1">
        <v>2760</v>
      </c>
      <c r="H351" s="1">
        <v>0.06</v>
      </c>
      <c r="I351" s="1">
        <v>166</v>
      </c>
      <c r="J351" t="s">
        <v>39</v>
      </c>
    </row>
    <row r="352" spans="1:10" x14ac:dyDescent="0.35">
      <c r="A352" t="s">
        <v>382</v>
      </c>
      <c r="B352" s="2">
        <v>43284</v>
      </c>
      <c r="C352" t="s">
        <v>30</v>
      </c>
      <c r="D352" t="s">
        <v>16</v>
      </c>
      <c r="E352" s="1">
        <v>22</v>
      </c>
      <c r="F352" s="1">
        <v>16</v>
      </c>
      <c r="G352" s="1">
        <v>352</v>
      </c>
      <c r="H352" s="1">
        <v>0.04</v>
      </c>
      <c r="I352" s="1">
        <v>14</v>
      </c>
      <c r="J352" t="s">
        <v>13</v>
      </c>
    </row>
    <row r="353" spans="1:10" x14ac:dyDescent="0.35">
      <c r="A353" t="s">
        <v>383</v>
      </c>
      <c r="B353" s="2">
        <v>43285</v>
      </c>
      <c r="C353" t="s">
        <v>34</v>
      </c>
      <c r="D353" t="s">
        <v>12</v>
      </c>
      <c r="E353" s="1">
        <v>5</v>
      </c>
      <c r="F353" s="1">
        <v>150</v>
      </c>
      <c r="G353" s="1">
        <v>750</v>
      </c>
      <c r="H353" s="1">
        <v>0.11</v>
      </c>
      <c r="I353" s="1">
        <v>82</v>
      </c>
      <c r="J353" t="s">
        <v>17</v>
      </c>
    </row>
    <row r="354" spans="1:10" x14ac:dyDescent="0.35">
      <c r="A354" t="s">
        <v>384</v>
      </c>
      <c r="B354" s="2">
        <v>43285</v>
      </c>
      <c r="C354" t="s">
        <v>11</v>
      </c>
      <c r="D354" t="s">
        <v>16</v>
      </c>
      <c r="E354" s="1">
        <v>14</v>
      </c>
      <c r="F354" s="1">
        <v>80</v>
      </c>
      <c r="G354" s="1">
        <v>1120</v>
      </c>
      <c r="H354" s="1">
        <v>0.11</v>
      </c>
      <c r="I354" s="1">
        <v>123</v>
      </c>
      <c r="J354" t="s">
        <v>20</v>
      </c>
    </row>
    <row r="355" spans="1:10" x14ac:dyDescent="0.35">
      <c r="A355" t="s">
        <v>385</v>
      </c>
      <c r="B355" s="2">
        <v>43285</v>
      </c>
      <c r="C355" t="s">
        <v>30</v>
      </c>
      <c r="D355" t="s">
        <v>24</v>
      </c>
      <c r="E355" s="1">
        <v>8</v>
      </c>
      <c r="F355" s="1">
        <v>16</v>
      </c>
      <c r="G355" s="1">
        <v>128</v>
      </c>
      <c r="H355" s="1">
        <v>0.03</v>
      </c>
      <c r="I355" s="1">
        <v>4</v>
      </c>
      <c r="J355" t="s">
        <v>22</v>
      </c>
    </row>
    <row r="356" spans="1:10" x14ac:dyDescent="0.35">
      <c r="A356" t="s">
        <v>386</v>
      </c>
      <c r="B356" s="2">
        <v>43285</v>
      </c>
      <c r="C356" t="s">
        <v>19</v>
      </c>
      <c r="D356" t="s">
        <v>24</v>
      </c>
      <c r="E356" s="1">
        <v>6</v>
      </c>
      <c r="F356" s="1">
        <v>230</v>
      </c>
      <c r="G356" s="1">
        <v>1380</v>
      </c>
      <c r="H356" s="1">
        <v>0.05</v>
      </c>
      <c r="I356" s="1">
        <v>69</v>
      </c>
      <c r="J356" t="s">
        <v>25</v>
      </c>
    </row>
    <row r="357" spans="1:10" x14ac:dyDescent="0.35">
      <c r="A357" t="s">
        <v>387</v>
      </c>
      <c r="B357" s="2">
        <v>43285</v>
      </c>
      <c r="C357" t="s">
        <v>30</v>
      </c>
      <c r="D357" t="s">
        <v>27</v>
      </c>
      <c r="E357" s="1">
        <v>7</v>
      </c>
      <c r="F357" s="1">
        <v>16</v>
      </c>
      <c r="G357" s="1">
        <v>112</v>
      </c>
      <c r="H357" s="1">
        <v>0.08</v>
      </c>
      <c r="I357" s="1">
        <v>9</v>
      </c>
      <c r="J357" t="s">
        <v>28</v>
      </c>
    </row>
    <row r="358" spans="1:10" x14ac:dyDescent="0.35">
      <c r="A358" t="s">
        <v>388</v>
      </c>
      <c r="B358" s="2">
        <v>43285</v>
      </c>
      <c r="C358" t="s">
        <v>11</v>
      </c>
      <c r="D358" t="s">
        <v>16</v>
      </c>
      <c r="E358" s="1">
        <v>16</v>
      </c>
      <c r="F358" s="1">
        <v>80</v>
      </c>
      <c r="G358" s="1">
        <v>1280</v>
      </c>
      <c r="H358" s="1">
        <v>0.04</v>
      </c>
      <c r="I358" s="1">
        <v>51</v>
      </c>
      <c r="J358" t="s">
        <v>32</v>
      </c>
    </row>
    <row r="359" spans="1:10" x14ac:dyDescent="0.35">
      <c r="A359" t="s">
        <v>389</v>
      </c>
      <c r="B359" s="2">
        <v>43285</v>
      </c>
      <c r="C359" t="s">
        <v>34</v>
      </c>
      <c r="D359" t="s">
        <v>12</v>
      </c>
      <c r="E359" s="1">
        <v>17</v>
      </c>
      <c r="F359" s="1">
        <v>150</v>
      </c>
      <c r="G359" s="1">
        <v>2550</v>
      </c>
      <c r="H359" s="1">
        <v>0.12</v>
      </c>
      <c r="I359" s="1">
        <v>306</v>
      </c>
      <c r="J359" t="s">
        <v>35</v>
      </c>
    </row>
    <row r="360" spans="1:10" x14ac:dyDescent="0.35">
      <c r="A360" t="s">
        <v>390</v>
      </c>
      <c r="B360" s="2">
        <v>43285</v>
      </c>
      <c r="C360" t="s">
        <v>30</v>
      </c>
      <c r="D360" t="s">
        <v>16</v>
      </c>
      <c r="E360" s="1">
        <v>7</v>
      </c>
      <c r="F360" s="1">
        <v>16</v>
      </c>
      <c r="G360" s="1">
        <v>112</v>
      </c>
      <c r="H360" s="1">
        <v>0.08</v>
      </c>
      <c r="I360" s="1">
        <v>9</v>
      </c>
      <c r="J360" t="s">
        <v>37</v>
      </c>
    </row>
    <row r="361" spans="1:10" x14ac:dyDescent="0.35">
      <c r="A361" t="s">
        <v>391</v>
      </c>
      <c r="B361" s="2">
        <v>43286</v>
      </c>
      <c r="C361" t="s">
        <v>30</v>
      </c>
      <c r="D361" t="s">
        <v>12</v>
      </c>
      <c r="E361" s="1">
        <v>21</v>
      </c>
      <c r="F361" s="1">
        <v>16</v>
      </c>
      <c r="G361" s="1">
        <v>336</v>
      </c>
      <c r="H361" s="1">
        <v>0.09</v>
      </c>
      <c r="I361" s="1">
        <v>30</v>
      </c>
      <c r="J361" t="s">
        <v>39</v>
      </c>
    </row>
    <row r="362" spans="1:10" x14ac:dyDescent="0.35">
      <c r="A362" t="s">
        <v>392</v>
      </c>
      <c r="B362" s="2">
        <v>43286</v>
      </c>
      <c r="C362" t="s">
        <v>30</v>
      </c>
      <c r="D362" t="s">
        <v>24</v>
      </c>
      <c r="E362" s="1">
        <v>23</v>
      </c>
      <c r="F362" s="1">
        <v>16</v>
      </c>
      <c r="G362" s="1">
        <v>368</v>
      </c>
      <c r="H362" s="1">
        <v>0.11</v>
      </c>
      <c r="I362" s="1">
        <v>40</v>
      </c>
      <c r="J362" t="s">
        <v>41</v>
      </c>
    </row>
    <row r="363" spans="1:10" x14ac:dyDescent="0.35">
      <c r="A363" t="s">
        <v>393</v>
      </c>
      <c r="B363" s="2">
        <v>43286</v>
      </c>
      <c r="C363" t="s">
        <v>34</v>
      </c>
      <c r="D363" t="s">
        <v>24</v>
      </c>
      <c r="E363" s="1">
        <v>2</v>
      </c>
      <c r="F363" s="1">
        <v>150</v>
      </c>
      <c r="G363" s="1">
        <v>300</v>
      </c>
      <c r="H363" s="1">
        <v>0.02</v>
      </c>
      <c r="I363" s="1">
        <v>6</v>
      </c>
      <c r="J363" t="s">
        <v>43</v>
      </c>
    </row>
    <row r="364" spans="1:10" x14ac:dyDescent="0.35">
      <c r="A364" t="s">
        <v>394</v>
      </c>
      <c r="B364" s="2">
        <v>43286</v>
      </c>
      <c r="C364" t="s">
        <v>34</v>
      </c>
      <c r="D364" t="s">
        <v>12</v>
      </c>
      <c r="E364" s="1">
        <v>22</v>
      </c>
      <c r="F364" s="1">
        <v>150</v>
      </c>
      <c r="G364" s="1">
        <v>3300</v>
      </c>
      <c r="H364" s="1">
        <v>7.0000000000000007E-2</v>
      </c>
      <c r="I364" s="1">
        <v>231</v>
      </c>
      <c r="J364" t="s">
        <v>13</v>
      </c>
    </row>
    <row r="365" spans="1:10" x14ac:dyDescent="0.35">
      <c r="A365" t="s">
        <v>395</v>
      </c>
      <c r="B365" s="2">
        <v>43286</v>
      </c>
      <c r="C365" t="s">
        <v>15</v>
      </c>
      <c r="D365" t="s">
        <v>27</v>
      </c>
      <c r="E365" s="1">
        <v>22</v>
      </c>
      <c r="F365" s="1">
        <v>40</v>
      </c>
      <c r="G365" s="1">
        <v>880</v>
      </c>
      <c r="H365" s="1">
        <v>0.01</v>
      </c>
      <c r="I365" s="1">
        <v>9</v>
      </c>
      <c r="J365" t="s">
        <v>17</v>
      </c>
    </row>
    <row r="366" spans="1:10" x14ac:dyDescent="0.35">
      <c r="A366" t="s">
        <v>396</v>
      </c>
      <c r="B366" s="2">
        <v>43286</v>
      </c>
      <c r="C366" t="s">
        <v>11</v>
      </c>
      <c r="D366" t="s">
        <v>16</v>
      </c>
      <c r="E366" s="1">
        <v>10</v>
      </c>
      <c r="F366" s="1">
        <v>80</v>
      </c>
      <c r="G366" s="1">
        <v>800</v>
      </c>
      <c r="H366" s="1">
        <v>0.11</v>
      </c>
      <c r="I366" s="1">
        <v>88</v>
      </c>
      <c r="J366" t="s">
        <v>20</v>
      </c>
    </row>
    <row r="367" spans="1:10" x14ac:dyDescent="0.35">
      <c r="A367" t="s">
        <v>397</v>
      </c>
      <c r="B367" s="2">
        <v>43286</v>
      </c>
      <c r="C367" t="s">
        <v>11</v>
      </c>
      <c r="D367" t="s">
        <v>31</v>
      </c>
      <c r="E367" s="1">
        <v>13</v>
      </c>
      <c r="F367" s="1">
        <v>80</v>
      </c>
      <c r="G367" s="1">
        <v>1040</v>
      </c>
      <c r="H367" s="1">
        <v>0.05</v>
      </c>
      <c r="I367" s="1">
        <v>52</v>
      </c>
      <c r="J367" t="s">
        <v>22</v>
      </c>
    </row>
    <row r="368" spans="1:10" x14ac:dyDescent="0.35">
      <c r="A368" t="s">
        <v>398</v>
      </c>
      <c r="B368" s="2">
        <v>43286</v>
      </c>
      <c r="C368" t="s">
        <v>19</v>
      </c>
      <c r="D368" t="s">
        <v>27</v>
      </c>
      <c r="E368" s="1">
        <v>11</v>
      </c>
      <c r="F368" s="1">
        <v>230</v>
      </c>
      <c r="G368" s="1">
        <v>2530</v>
      </c>
      <c r="H368" s="1">
        <v>0.12</v>
      </c>
      <c r="I368" s="1">
        <v>304</v>
      </c>
      <c r="J368" t="s">
        <v>25</v>
      </c>
    </row>
    <row r="369" spans="1:10" x14ac:dyDescent="0.35">
      <c r="A369" t="s">
        <v>399</v>
      </c>
      <c r="B369" s="2">
        <v>43286</v>
      </c>
      <c r="C369" t="s">
        <v>19</v>
      </c>
      <c r="D369" t="s">
        <v>12</v>
      </c>
      <c r="E369" s="1">
        <v>9</v>
      </c>
      <c r="F369" s="1">
        <v>230</v>
      </c>
      <c r="G369" s="1">
        <v>2070</v>
      </c>
      <c r="H369" s="1">
        <v>7.0000000000000007E-2</v>
      </c>
      <c r="I369" s="1">
        <v>145</v>
      </c>
      <c r="J369" t="s">
        <v>28</v>
      </c>
    </row>
    <row r="370" spans="1:10" x14ac:dyDescent="0.35">
      <c r="A370" t="s">
        <v>400</v>
      </c>
      <c r="B370" s="2">
        <v>43286</v>
      </c>
      <c r="C370" t="s">
        <v>19</v>
      </c>
      <c r="D370" t="s">
        <v>27</v>
      </c>
      <c r="E370" s="1">
        <v>16</v>
      </c>
      <c r="F370" s="1">
        <v>230</v>
      </c>
      <c r="G370" s="1">
        <v>3680</v>
      </c>
      <c r="H370" s="1">
        <v>0.11</v>
      </c>
      <c r="I370" s="1">
        <v>405</v>
      </c>
      <c r="J370" t="s">
        <v>32</v>
      </c>
    </row>
    <row r="371" spans="1:10" x14ac:dyDescent="0.35">
      <c r="A371" t="s">
        <v>401</v>
      </c>
      <c r="B371" s="2">
        <v>43286</v>
      </c>
      <c r="C371" t="s">
        <v>19</v>
      </c>
      <c r="D371" t="s">
        <v>27</v>
      </c>
      <c r="E371" s="1">
        <v>18</v>
      </c>
      <c r="F371" s="1">
        <v>230</v>
      </c>
      <c r="G371" s="1">
        <v>4140</v>
      </c>
      <c r="H371" s="1">
        <v>0.01</v>
      </c>
      <c r="I371" s="1">
        <v>41</v>
      </c>
      <c r="J371" t="s">
        <v>35</v>
      </c>
    </row>
    <row r="372" spans="1:10" x14ac:dyDescent="0.35">
      <c r="A372" t="s">
        <v>402</v>
      </c>
      <c r="B372" s="2">
        <v>43286</v>
      </c>
      <c r="C372" t="s">
        <v>30</v>
      </c>
      <c r="D372" t="s">
        <v>16</v>
      </c>
      <c r="E372" s="1">
        <v>15</v>
      </c>
      <c r="F372" s="1">
        <v>16</v>
      </c>
      <c r="G372" s="1">
        <v>240</v>
      </c>
      <c r="H372" s="1">
        <v>0.02</v>
      </c>
      <c r="I372" s="1">
        <v>5</v>
      </c>
      <c r="J372" t="s">
        <v>37</v>
      </c>
    </row>
    <row r="373" spans="1:10" x14ac:dyDescent="0.35">
      <c r="A373" t="s">
        <v>403</v>
      </c>
      <c r="B373" s="2">
        <v>43286</v>
      </c>
      <c r="C373" t="s">
        <v>15</v>
      </c>
      <c r="D373" t="s">
        <v>31</v>
      </c>
      <c r="E373" s="1">
        <v>18</v>
      </c>
      <c r="F373" s="1">
        <v>40</v>
      </c>
      <c r="G373" s="1">
        <v>720</v>
      </c>
      <c r="H373" s="1">
        <v>0.06</v>
      </c>
      <c r="I373" s="1">
        <v>43</v>
      </c>
      <c r="J373" t="s">
        <v>39</v>
      </c>
    </row>
    <row r="374" spans="1:10" x14ac:dyDescent="0.35">
      <c r="A374" t="s">
        <v>404</v>
      </c>
      <c r="B374" s="2">
        <v>43286</v>
      </c>
      <c r="C374" t="s">
        <v>15</v>
      </c>
      <c r="D374" t="s">
        <v>27</v>
      </c>
      <c r="E374" s="1">
        <v>18</v>
      </c>
      <c r="F374" s="1">
        <v>40</v>
      </c>
      <c r="G374" s="1">
        <v>720</v>
      </c>
      <c r="H374" s="1">
        <v>0.04</v>
      </c>
      <c r="I374" s="1">
        <v>29</v>
      </c>
      <c r="J374" t="s">
        <v>41</v>
      </c>
    </row>
    <row r="375" spans="1:10" x14ac:dyDescent="0.35">
      <c r="A375" t="s">
        <v>405</v>
      </c>
      <c r="B375" s="2">
        <v>43286</v>
      </c>
      <c r="C375" t="s">
        <v>30</v>
      </c>
      <c r="D375" t="s">
        <v>27</v>
      </c>
      <c r="E375" s="1">
        <v>22</v>
      </c>
      <c r="F375" s="1">
        <v>16</v>
      </c>
      <c r="G375" s="1">
        <v>352</v>
      </c>
      <c r="H375" s="1">
        <v>0.03</v>
      </c>
      <c r="I375" s="1">
        <v>11</v>
      </c>
      <c r="J375" t="s">
        <v>43</v>
      </c>
    </row>
    <row r="376" spans="1:10" x14ac:dyDescent="0.35">
      <c r="A376" t="s">
        <v>406</v>
      </c>
      <c r="B376" s="2">
        <v>43286</v>
      </c>
      <c r="C376" t="s">
        <v>30</v>
      </c>
      <c r="D376" t="s">
        <v>24</v>
      </c>
      <c r="E376" s="1">
        <v>12</v>
      </c>
      <c r="F376" s="1">
        <v>16</v>
      </c>
      <c r="G376" s="1">
        <v>192</v>
      </c>
      <c r="H376" s="1">
        <v>0.11</v>
      </c>
      <c r="I376" s="1">
        <v>21</v>
      </c>
      <c r="J376" t="s">
        <v>13</v>
      </c>
    </row>
    <row r="377" spans="1:10" x14ac:dyDescent="0.35">
      <c r="A377" t="s">
        <v>407</v>
      </c>
      <c r="B377" s="2">
        <v>43287</v>
      </c>
      <c r="C377" t="s">
        <v>11</v>
      </c>
      <c r="D377" t="s">
        <v>12</v>
      </c>
      <c r="E377" s="1">
        <v>20</v>
      </c>
      <c r="F377" s="1">
        <v>80</v>
      </c>
      <c r="G377" s="1">
        <v>1600</v>
      </c>
      <c r="H377" s="1">
        <v>0.01</v>
      </c>
      <c r="I377" s="1">
        <v>16</v>
      </c>
      <c r="J377" t="s">
        <v>17</v>
      </c>
    </row>
    <row r="378" spans="1:10" x14ac:dyDescent="0.35">
      <c r="A378" t="s">
        <v>408</v>
      </c>
      <c r="B378" s="2">
        <v>43287</v>
      </c>
      <c r="C378" t="s">
        <v>19</v>
      </c>
      <c r="D378" t="s">
        <v>24</v>
      </c>
      <c r="E378" s="1">
        <v>10</v>
      </c>
      <c r="F378" s="1">
        <v>230</v>
      </c>
      <c r="G378" s="1">
        <v>2300</v>
      </c>
      <c r="H378" s="1">
        <v>0.02</v>
      </c>
      <c r="I378" s="1">
        <v>46</v>
      </c>
      <c r="J378" t="s">
        <v>20</v>
      </c>
    </row>
    <row r="379" spans="1:10" x14ac:dyDescent="0.35">
      <c r="A379" t="s">
        <v>409</v>
      </c>
      <c r="B379" s="2">
        <v>43287</v>
      </c>
      <c r="C379" t="s">
        <v>19</v>
      </c>
      <c r="D379" t="s">
        <v>16</v>
      </c>
      <c r="E379" s="1">
        <v>9</v>
      </c>
      <c r="F379" s="1">
        <v>230</v>
      </c>
      <c r="G379" s="1">
        <v>2070</v>
      </c>
      <c r="H379" s="1">
        <v>0.03</v>
      </c>
      <c r="I379" s="1">
        <v>62</v>
      </c>
      <c r="J379" t="s">
        <v>22</v>
      </c>
    </row>
    <row r="380" spans="1:10" x14ac:dyDescent="0.35">
      <c r="A380" t="s">
        <v>410</v>
      </c>
      <c r="B380" s="2">
        <v>43287</v>
      </c>
      <c r="C380" t="s">
        <v>11</v>
      </c>
      <c r="D380" t="s">
        <v>16</v>
      </c>
      <c r="E380" s="1">
        <v>17</v>
      </c>
      <c r="F380" s="1">
        <v>80</v>
      </c>
      <c r="G380" s="1">
        <v>1360</v>
      </c>
      <c r="H380" s="1">
        <v>0.03</v>
      </c>
      <c r="I380" s="1">
        <v>41</v>
      </c>
      <c r="J380" t="s">
        <v>25</v>
      </c>
    </row>
    <row r="381" spans="1:10" x14ac:dyDescent="0.35">
      <c r="A381" t="s">
        <v>411</v>
      </c>
      <c r="B381" s="2">
        <v>43287</v>
      </c>
      <c r="C381" t="s">
        <v>15</v>
      </c>
      <c r="D381" t="s">
        <v>31</v>
      </c>
      <c r="E381" s="1">
        <v>4</v>
      </c>
      <c r="F381" s="1">
        <v>40</v>
      </c>
      <c r="G381" s="1">
        <v>160</v>
      </c>
      <c r="H381" s="1">
        <v>0.09</v>
      </c>
      <c r="I381" s="1">
        <v>14</v>
      </c>
      <c r="J381" t="s">
        <v>28</v>
      </c>
    </row>
    <row r="382" spans="1:10" x14ac:dyDescent="0.35">
      <c r="A382" t="s">
        <v>412</v>
      </c>
      <c r="B382" s="2">
        <v>43287</v>
      </c>
      <c r="C382" t="s">
        <v>34</v>
      </c>
      <c r="D382" t="s">
        <v>16</v>
      </c>
      <c r="E382" s="1">
        <v>16</v>
      </c>
      <c r="F382" s="1">
        <v>150</v>
      </c>
      <c r="G382" s="1">
        <v>2400</v>
      </c>
      <c r="H382" s="1">
        <v>0.03</v>
      </c>
      <c r="I382" s="1">
        <v>72</v>
      </c>
      <c r="J382" t="s">
        <v>32</v>
      </c>
    </row>
    <row r="383" spans="1:10" x14ac:dyDescent="0.35">
      <c r="A383" t="s">
        <v>413</v>
      </c>
      <c r="B383" s="2">
        <v>43287</v>
      </c>
      <c r="C383" t="s">
        <v>11</v>
      </c>
      <c r="D383" t="s">
        <v>24</v>
      </c>
      <c r="E383" s="1">
        <v>8</v>
      </c>
      <c r="F383" s="1">
        <v>80</v>
      </c>
      <c r="G383" s="1">
        <v>640</v>
      </c>
      <c r="H383" s="1">
        <v>0.02</v>
      </c>
      <c r="I383" s="1">
        <v>13</v>
      </c>
      <c r="J383" t="s">
        <v>35</v>
      </c>
    </row>
    <row r="384" spans="1:10" x14ac:dyDescent="0.35">
      <c r="A384" t="s">
        <v>414</v>
      </c>
      <c r="B384" s="2">
        <v>43287</v>
      </c>
      <c r="C384" t="s">
        <v>15</v>
      </c>
      <c r="D384" t="s">
        <v>27</v>
      </c>
      <c r="E384" s="1">
        <v>23</v>
      </c>
      <c r="F384" s="1">
        <v>40</v>
      </c>
      <c r="G384" s="1">
        <v>920</v>
      </c>
      <c r="H384" s="1">
        <v>0.06</v>
      </c>
      <c r="I384" s="1">
        <v>55</v>
      </c>
      <c r="J384" t="s">
        <v>37</v>
      </c>
    </row>
    <row r="385" spans="1:10" x14ac:dyDescent="0.35">
      <c r="A385" t="s">
        <v>415</v>
      </c>
      <c r="B385" s="2">
        <v>43288</v>
      </c>
      <c r="C385" t="s">
        <v>34</v>
      </c>
      <c r="D385" t="s">
        <v>27</v>
      </c>
      <c r="E385" s="1">
        <v>20</v>
      </c>
      <c r="F385" s="1">
        <v>150</v>
      </c>
      <c r="G385" s="1">
        <v>3000</v>
      </c>
      <c r="H385" s="1">
        <v>0.1</v>
      </c>
      <c r="I385" s="1">
        <v>300</v>
      </c>
      <c r="J385" t="s">
        <v>39</v>
      </c>
    </row>
    <row r="386" spans="1:10" x14ac:dyDescent="0.35">
      <c r="A386" t="s">
        <v>416</v>
      </c>
      <c r="B386" s="2">
        <v>43288</v>
      </c>
      <c r="C386" t="s">
        <v>19</v>
      </c>
      <c r="D386" t="s">
        <v>31</v>
      </c>
      <c r="E386" s="1">
        <v>22</v>
      </c>
      <c r="F386" s="1">
        <v>230</v>
      </c>
      <c r="G386" s="1">
        <v>5060</v>
      </c>
      <c r="H386" s="1">
        <v>0.1</v>
      </c>
      <c r="I386" s="1">
        <v>506</v>
      </c>
      <c r="J386" t="s">
        <v>41</v>
      </c>
    </row>
    <row r="387" spans="1:10" x14ac:dyDescent="0.35">
      <c r="A387" t="s">
        <v>417</v>
      </c>
      <c r="B387" s="2">
        <v>43288</v>
      </c>
      <c r="C387" t="s">
        <v>19</v>
      </c>
      <c r="D387" t="s">
        <v>16</v>
      </c>
      <c r="E387" s="1">
        <v>6</v>
      </c>
      <c r="F387" s="1">
        <v>230</v>
      </c>
      <c r="G387" s="1">
        <v>1380</v>
      </c>
      <c r="H387" s="1">
        <v>0.1</v>
      </c>
      <c r="I387" s="1">
        <v>138</v>
      </c>
      <c r="J387" t="s">
        <v>43</v>
      </c>
    </row>
    <row r="388" spans="1:10" x14ac:dyDescent="0.35">
      <c r="A388" t="s">
        <v>418</v>
      </c>
      <c r="B388" s="2">
        <v>43288</v>
      </c>
      <c r="C388" t="s">
        <v>11</v>
      </c>
      <c r="D388" t="s">
        <v>27</v>
      </c>
      <c r="E388" s="1">
        <v>10</v>
      </c>
      <c r="F388" s="1">
        <v>80</v>
      </c>
      <c r="G388" s="1">
        <v>800</v>
      </c>
      <c r="H388" s="1">
        <v>0.1</v>
      </c>
      <c r="I388" s="1">
        <v>80</v>
      </c>
      <c r="J388" t="s">
        <v>13</v>
      </c>
    </row>
    <row r="389" spans="1:10" x14ac:dyDescent="0.35">
      <c r="A389" t="s">
        <v>419</v>
      </c>
      <c r="B389" s="2">
        <v>43288</v>
      </c>
      <c r="C389" t="s">
        <v>19</v>
      </c>
      <c r="D389" t="s">
        <v>31</v>
      </c>
      <c r="E389" s="1">
        <v>21</v>
      </c>
      <c r="F389" s="1">
        <v>230</v>
      </c>
      <c r="G389" s="1">
        <v>4830</v>
      </c>
      <c r="H389" s="1">
        <v>0.05</v>
      </c>
      <c r="I389" s="1">
        <v>242</v>
      </c>
      <c r="J389" t="s">
        <v>17</v>
      </c>
    </row>
    <row r="390" spans="1:10" x14ac:dyDescent="0.35">
      <c r="A390" t="s">
        <v>420</v>
      </c>
      <c r="B390" s="2">
        <v>43288</v>
      </c>
      <c r="C390" t="s">
        <v>19</v>
      </c>
      <c r="D390" t="s">
        <v>12</v>
      </c>
      <c r="E390" s="1">
        <v>20</v>
      </c>
      <c r="F390" s="1">
        <v>230</v>
      </c>
      <c r="G390" s="1">
        <v>4600</v>
      </c>
      <c r="H390" s="1">
        <v>0.04</v>
      </c>
      <c r="I390" s="1">
        <v>184</v>
      </c>
      <c r="J390" t="s">
        <v>20</v>
      </c>
    </row>
    <row r="391" spans="1:10" x14ac:dyDescent="0.35">
      <c r="A391" t="s">
        <v>421</v>
      </c>
      <c r="B391" s="2">
        <v>43288</v>
      </c>
      <c r="C391" t="s">
        <v>11</v>
      </c>
      <c r="D391" t="s">
        <v>24</v>
      </c>
      <c r="E391" s="1">
        <v>20</v>
      </c>
      <c r="F391" s="1">
        <v>80</v>
      </c>
      <c r="G391" s="1">
        <v>1600</v>
      </c>
      <c r="H391" s="1">
        <v>7.0000000000000007E-2</v>
      </c>
      <c r="I391" s="1">
        <v>112</v>
      </c>
      <c r="J391" t="s">
        <v>22</v>
      </c>
    </row>
    <row r="392" spans="1:10" x14ac:dyDescent="0.35">
      <c r="A392" t="s">
        <v>422</v>
      </c>
      <c r="B392" s="2">
        <v>43288</v>
      </c>
      <c r="C392" t="s">
        <v>11</v>
      </c>
      <c r="D392" t="s">
        <v>24</v>
      </c>
      <c r="E392" s="1">
        <v>7</v>
      </c>
      <c r="F392" s="1">
        <v>80</v>
      </c>
      <c r="G392" s="1">
        <v>560</v>
      </c>
      <c r="H392" s="1">
        <v>0.05</v>
      </c>
      <c r="I392" s="1">
        <v>28</v>
      </c>
      <c r="J392" t="s">
        <v>25</v>
      </c>
    </row>
    <row r="393" spans="1:10" x14ac:dyDescent="0.35">
      <c r="A393" t="s">
        <v>423</v>
      </c>
      <c r="B393" s="2">
        <v>43288</v>
      </c>
      <c r="C393" t="s">
        <v>11</v>
      </c>
      <c r="D393" t="s">
        <v>12</v>
      </c>
      <c r="E393" s="1">
        <v>8</v>
      </c>
      <c r="F393" s="1">
        <v>80</v>
      </c>
      <c r="G393" s="1">
        <v>640</v>
      </c>
      <c r="H393" s="1">
        <v>0.09</v>
      </c>
      <c r="I393" s="1">
        <v>58</v>
      </c>
      <c r="J393" t="s">
        <v>28</v>
      </c>
    </row>
    <row r="394" spans="1:10" x14ac:dyDescent="0.35">
      <c r="A394" t="s">
        <v>424</v>
      </c>
      <c r="B394" s="2">
        <v>43288</v>
      </c>
      <c r="C394" t="s">
        <v>11</v>
      </c>
      <c r="D394" t="s">
        <v>16</v>
      </c>
      <c r="E394" s="1">
        <v>3</v>
      </c>
      <c r="F394" s="1">
        <v>80</v>
      </c>
      <c r="G394" s="1">
        <v>240</v>
      </c>
      <c r="H394" s="1">
        <v>0.02</v>
      </c>
      <c r="I394" s="1">
        <v>5</v>
      </c>
      <c r="J394" t="s">
        <v>32</v>
      </c>
    </row>
    <row r="395" spans="1:10" x14ac:dyDescent="0.35">
      <c r="A395" t="s">
        <v>425</v>
      </c>
      <c r="B395" s="2">
        <v>43288</v>
      </c>
      <c r="C395" t="s">
        <v>11</v>
      </c>
      <c r="D395" t="s">
        <v>27</v>
      </c>
      <c r="E395" s="1">
        <v>8</v>
      </c>
      <c r="F395" s="1">
        <v>80</v>
      </c>
      <c r="G395" s="1">
        <v>640</v>
      </c>
      <c r="H395" s="1">
        <v>0.06</v>
      </c>
      <c r="I395" s="1">
        <v>38</v>
      </c>
      <c r="J395" t="s">
        <v>35</v>
      </c>
    </row>
    <row r="396" spans="1:10" x14ac:dyDescent="0.35">
      <c r="A396" t="s">
        <v>426</v>
      </c>
      <c r="B396" s="2">
        <v>43288</v>
      </c>
      <c r="C396" t="s">
        <v>34</v>
      </c>
      <c r="D396" t="s">
        <v>31</v>
      </c>
      <c r="E396" s="1">
        <v>13</v>
      </c>
      <c r="F396" s="1">
        <v>150</v>
      </c>
      <c r="G396" s="1">
        <v>1950</v>
      </c>
      <c r="H396" s="1">
        <v>0.11</v>
      </c>
      <c r="I396" s="1">
        <v>214</v>
      </c>
      <c r="J396" t="s">
        <v>37</v>
      </c>
    </row>
    <row r="397" spans="1:10" x14ac:dyDescent="0.35">
      <c r="A397" t="s">
        <v>427</v>
      </c>
      <c r="B397" s="2">
        <v>43288</v>
      </c>
      <c r="C397" t="s">
        <v>11</v>
      </c>
      <c r="D397" t="s">
        <v>27</v>
      </c>
      <c r="E397" s="1">
        <v>15</v>
      </c>
      <c r="F397" s="1">
        <v>80</v>
      </c>
      <c r="G397" s="1">
        <v>1200</v>
      </c>
      <c r="H397" s="1">
        <v>0.08</v>
      </c>
      <c r="I397" s="1">
        <v>96</v>
      </c>
      <c r="J397" t="s">
        <v>39</v>
      </c>
    </row>
    <row r="398" spans="1:10" x14ac:dyDescent="0.35">
      <c r="A398" t="s">
        <v>428</v>
      </c>
      <c r="B398" s="2">
        <v>43288</v>
      </c>
      <c r="C398" t="s">
        <v>34</v>
      </c>
      <c r="D398" t="s">
        <v>31</v>
      </c>
      <c r="E398" s="1">
        <v>7</v>
      </c>
      <c r="F398" s="1">
        <v>150</v>
      </c>
      <c r="G398" s="1">
        <v>1050</v>
      </c>
      <c r="H398" s="1">
        <v>0.02</v>
      </c>
      <c r="I398" s="1">
        <v>21</v>
      </c>
      <c r="J398" t="s">
        <v>41</v>
      </c>
    </row>
    <row r="399" spans="1:10" x14ac:dyDescent="0.35">
      <c r="A399" t="s">
        <v>429</v>
      </c>
      <c r="B399" s="2">
        <v>43288</v>
      </c>
      <c r="C399" t="s">
        <v>15</v>
      </c>
      <c r="D399" t="s">
        <v>24</v>
      </c>
      <c r="E399" s="1">
        <v>6</v>
      </c>
      <c r="F399" s="1">
        <v>40</v>
      </c>
      <c r="G399" s="1">
        <v>240</v>
      </c>
      <c r="H399" s="1">
        <v>0.06</v>
      </c>
      <c r="I399" s="1">
        <v>14</v>
      </c>
      <c r="J399" t="s">
        <v>43</v>
      </c>
    </row>
    <row r="400" spans="1:10" x14ac:dyDescent="0.35">
      <c r="A400" t="s">
        <v>430</v>
      </c>
      <c r="B400" s="2">
        <v>43288</v>
      </c>
      <c r="C400" t="s">
        <v>11</v>
      </c>
      <c r="D400" t="s">
        <v>27</v>
      </c>
      <c r="E400" s="1">
        <v>23</v>
      </c>
      <c r="F400" s="1">
        <v>80</v>
      </c>
      <c r="G400" s="1">
        <v>1840</v>
      </c>
      <c r="H400" s="1">
        <v>0.11</v>
      </c>
      <c r="I400" s="1">
        <v>202</v>
      </c>
      <c r="J400" t="s">
        <v>13</v>
      </c>
    </row>
    <row r="401" spans="1:10" x14ac:dyDescent="0.35">
      <c r="A401" t="s">
        <v>431</v>
      </c>
      <c r="B401" s="2">
        <v>43288</v>
      </c>
      <c r="C401" t="s">
        <v>19</v>
      </c>
      <c r="D401" t="s">
        <v>24</v>
      </c>
      <c r="E401" s="1">
        <v>18</v>
      </c>
      <c r="F401" s="1">
        <v>230</v>
      </c>
      <c r="G401" s="1">
        <v>4140</v>
      </c>
      <c r="H401" s="1">
        <v>0.01</v>
      </c>
      <c r="I401" s="1">
        <v>41</v>
      </c>
      <c r="J401" t="s">
        <v>17</v>
      </c>
    </row>
    <row r="402" spans="1:10" x14ac:dyDescent="0.35">
      <c r="A402" t="s">
        <v>432</v>
      </c>
      <c r="B402" s="2">
        <v>43289</v>
      </c>
      <c r="C402" t="s">
        <v>11</v>
      </c>
      <c r="D402" t="s">
        <v>31</v>
      </c>
      <c r="E402" s="1">
        <v>21</v>
      </c>
      <c r="F402" s="1">
        <v>80</v>
      </c>
      <c r="G402" s="1">
        <v>1680</v>
      </c>
      <c r="H402" s="1">
        <v>0.09</v>
      </c>
      <c r="I402" s="1">
        <v>151</v>
      </c>
      <c r="J402" t="s">
        <v>20</v>
      </c>
    </row>
    <row r="403" spans="1:10" x14ac:dyDescent="0.35">
      <c r="A403" t="s">
        <v>433</v>
      </c>
      <c r="B403" s="2">
        <v>43289</v>
      </c>
      <c r="C403" t="s">
        <v>15</v>
      </c>
      <c r="D403" t="s">
        <v>24</v>
      </c>
      <c r="E403" s="1">
        <v>13</v>
      </c>
      <c r="F403" s="1">
        <v>40</v>
      </c>
      <c r="G403" s="1">
        <v>520</v>
      </c>
      <c r="H403" s="1">
        <v>0.02</v>
      </c>
      <c r="I403" s="1">
        <v>10</v>
      </c>
      <c r="J403" t="s">
        <v>22</v>
      </c>
    </row>
    <row r="404" spans="1:10" x14ac:dyDescent="0.35">
      <c r="A404" t="s">
        <v>434</v>
      </c>
      <c r="B404" s="2">
        <v>43289</v>
      </c>
      <c r="C404" t="s">
        <v>11</v>
      </c>
      <c r="D404" t="s">
        <v>24</v>
      </c>
      <c r="E404" s="1">
        <v>23</v>
      </c>
      <c r="F404" s="1">
        <v>80</v>
      </c>
      <c r="G404" s="1">
        <v>1840</v>
      </c>
      <c r="H404" s="1">
        <v>0.05</v>
      </c>
      <c r="I404" s="1">
        <v>92</v>
      </c>
      <c r="J404" t="s">
        <v>25</v>
      </c>
    </row>
    <row r="405" spans="1:10" x14ac:dyDescent="0.35">
      <c r="A405" t="s">
        <v>435</v>
      </c>
      <c r="B405" s="2">
        <v>43289</v>
      </c>
      <c r="C405" t="s">
        <v>34</v>
      </c>
      <c r="D405" t="s">
        <v>27</v>
      </c>
      <c r="E405" s="1">
        <v>15</v>
      </c>
      <c r="F405" s="1">
        <v>150</v>
      </c>
      <c r="G405" s="1">
        <v>2250</v>
      </c>
      <c r="H405" s="1">
        <v>0.05</v>
      </c>
      <c r="I405" s="1">
        <v>112</v>
      </c>
      <c r="J405" t="s">
        <v>28</v>
      </c>
    </row>
    <row r="406" spans="1:10" x14ac:dyDescent="0.35">
      <c r="A406" t="s">
        <v>436</v>
      </c>
      <c r="B406" s="2">
        <v>43289</v>
      </c>
      <c r="C406" t="s">
        <v>15</v>
      </c>
      <c r="D406" t="s">
        <v>12</v>
      </c>
      <c r="E406" s="1">
        <v>5</v>
      </c>
      <c r="F406" s="1">
        <v>40</v>
      </c>
      <c r="G406" s="1">
        <v>200</v>
      </c>
      <c r="H406" s="1">
        <v>0.09</v>
      </c>
      <c r="I406" s="1">
        <v>18</v>
      </c>
      <c r="J406" t="s">
        <v>32</v>
      </c>
    </row>
    <row r="407" spans="1:10" x14ac:dyDescent="0.35">
      <c r="A407" t="s">
        <v>437</v>
      </c>
      <c r="B407" s="2">
        <v>43289</v>
      </c>
      <c r="C407" t="s">
        <v>30</v>
      </c>
      <c r="D407" t="s">
        <v>27</v>
      </c>
      <c r="E407" s="1">
        <v>10</v>
      </c>
      <c r="F407" s="1">
        <v>16</v>
      </c>
      <c r="G407" s="1">
        <v>160</v>
      </c>
      <c r="H407" s="1">
        <v>0.01</v>
      </c>
      <c r="I407" s="1">
        <v>2</v>
      </c>
      <c r="J407" t="s">
        <v>35</v>
      </c>
    </row>
    <row r="408" spans="1:10" x14ac:dyDescent="0.35">
      <c r="A408" t="s">
        <v>438</v>
      </c>
      <c r="B408" s="2">
        <v>43289</v>
      </c>
      <c r="C408" t="s">
        <v>19</v>
      </c>
      <c r="D408" t="s">
        <v>24</v>
      </c>
      <c r="E408" s="1">
        <v>2</v>
      </c>
      <c r="F408" s="1">
        <v>230</v>
      </c>
      <c r="G408" s="1">
        <v>460</v>
      </c>
      <c r="H408" s="1">
        <v>0.09</v>
      </c>
      <c r="I408" s="1">
        <v>41</v>
      </c>
      <c r="J408" t="s">
        <v>37</v>
      </c>
    </row>
    <row r="409" spans="1:10" x14ac:dyDescent="0.35">
      <c r="A409" t="s">
        <v>439</v>
      </c>
      <c r="B409" s="2">
        <v>43289</v>
      </c>
      <c r="C409" t="s">
        <v>11</v>
      </c>
      <c r="D409" t="s">
        <v>27</v>
      </c>
      <c r="E409" s="1">
        <v>7</v>
      </c>
      <c r="F409" s="1">
        <v>80</v>
      </c>
      <c r="G409" s="1">
        <v>560</v>
      </c>
      <c r="H409" s="1">
        <v>0.02</v>
      </c>
      <c r="I409" s="1">
        <v>11</v>
      </c>
      <c r="J409" t="s">
        <v>39</v>
      </c>
    </row>
    <row r="410" spans="1:10" x14ac:dyDescent="0.35">
      <c r="A410" t="s">
        <v>440</v>
      </c>
      <c r="B410" s="2">
        <v>43289</v>
      </c>
      <c r="C410" t="s">
        <v>34</v>
      </c>
      <c r="D410" t="s">
        <v>27</v>
      </c>
      <c r="E410" s="1">
        <v>22</v>
      </c>
      <c r="F410" s="1">
        <v>150</v>
      </c>
      <c r="G410" s="1">
        <v>3300</v>
      </c>
      <c r="H410" s="1">
        <v>0.05</v>
      </c>
      <c r="I410" s="1">
        <v>165</v>
      </c>
      <c r="J410" t="s">
        <v>41</v>
      </c>
    </row>
    <row r="411" spans="1:10" x14ac:dyDescent="0.35">
      <c r="A411" t="s">
        <v>441</v>
      </c>
      <c r="B411" s="2">
        <v>43289</v>
      </c>
      <c r="C411" t="s">
        <v>15</v>
      </c>
      <c r="D411" t="s">
        <v>31</v>
      </c>
      <c r="E411" s="1">
        <v>17</v>
      </c>
      <c r="F411" s="1">
        <v>40</v>
      </c>
      <c r="G411" s="1">
        <v>680</v>
      </c>
      <c r="H411" s="1">
        <v>0.02</v>
      </c>
      <c r="I411" s="1">
        <v>14</v>
      </c>
      <c r="J411" t="s">
        <v>43</v>
      </c>
    </row>
    <row r="412" spans="1:10" x14ac:dyDescent="0.35">
      <c r="A412" t="s">
        <v>442</v>
      </c>
      <c r="B412" s="2">
        <v>43289</v>
      </c>
      <c r="C412" t="s">
        <v>30</v>
      </c>
      <c r="D412" t="s">
        <v>12</v>
      </c>
      <c r="E412" s="1">
        <v>22</v>
      </c>
      <c r="F412" s="1">
        <v>16</v>
      </c>
      <c r="G412" s="1">
        <v>352</v>
      </c>
      <c r="H412" s="1">
        <v>0.06</v>
      </c>
      <c r="I412" s="1">
        <v>21</v>
      </c>
      <c r="J412" t="s">
        <v>13</v>
      </c>
    </row>
    <row r="413" spans="1:10" x14ac:dyDescent="0.35">
      <c r="A413" t="s">
        <v>443</v>
      </c>
      <c r="B413" s="2">
        <v>43289</v>
      </c>
      <c r="C413" t="s">
        <v>30</v>
      </c>
      <c r="D413" t="s">
        <v>31</v>
      </c>
      <c r="E413" s="1">
        <v>3</v>
      </c>
      <c r="F413" s="1">
        <v>16</v>
      </c>
      <c r="G413" s="1">
        <v>48</v>
      </c>
      <c r="H413" s="1">
        <v>0.03</v>
      </c>
      <c r="I413" s="1">
        <v>1</v>
      </c>
      <c r="J413" t="s">
        <v>17</v>
      </c>
    </row>
    <row r="414" spans="1:10" x14ac:dyDescent="0.35">
      <c r="A414" t="s">
        <v>444</v>
      </c>
      <c r="B414" s="2">
        <v>43289</v>
      </c>
      <c r="C414" t="s">
        <v>19</v>
      </c>
      <c r="D414" t="s">
        <v>31</v>
      </c>
      <c r="E414" s="1">
        <v>2</v>
      </c>
      <c r="F414" s="1">
        <v>230</v>
      </c>
      <c r="G414" s="1">
        <v>460</v>
      </c>
      <c r="H414" s="1">
        <v>0.08</v>
      </c>
      <c r="I414" s="1">
        <v>37</v>
      </c>
      <c r="J414" t="s">
        <v>20</v>
      </c>
    </row>
    <row r="415" spans="1:10" x14ac:dyDescent="0.35">
      <c r="A415" t="s">
        <v>445</v>
      </c>
      <c r="B415" s="2">
        <v>43289</v>
      </c>
      <c r="C415" t="s">
        <v>30</v>
      </c>
      <c r="D415" t="s">
        <v>12</v>
      </c>
      <c r="E415" s="1">
        <v>21</v>
      </c>
      <c r="F415" s="1">
        <v>16</v>
      </c>
      <c r="G415" s="1">
        <v>336</v>
      </c>
      <c r="H415" s="1">
        <v>0.09</v>
      </c>
      <c r="I415" s="1">
        <v>30</v>
      </c>
      <c r="J415" t="s">
        <v>22</v>
      </c>
    </row>
    <row r="416" spans="1:10" x14ac:dyDescent="0.35">
      <c r="A416" t="s">
        <v>446</v>
      </c>
      <c r="B416" s="2">
        <v>43289</v>
      </c>
      <c r="C416" t="s">
        <v>11</v>
      </c>
      <c r="D416" t="s">
        <v>27</v>
      </c>
      <c r="E416" s="1">
        <v>7</v>
      </c>
      <c r="F416" s="1">
        <v>80</v>
      </c>
      <c r="G416" s="1">
        <v>560</v>
      </c>
      <c r="H416" s="1">
        <v>7.0000000000000007E-2</v>
      </c>
      <c r="I416" s="1">
        <v>39</v>
      </c>
      <c r="J416" t="s">
        <v>25</v>
      </c>
    </row>
    <row r="417" spans="1:10" x14ac:dyDescent="0.35">
      <c r="A417" t="s">
        <v>447</v>
      </c>
      <c r="B417" s="2">
        <v>43289</v>
      </c>
      <c r="C417" t="s">
        <v>34</v>
      </c>
      <c r="D417" t="s">
        <v>16</v>
      </c>
      <c r="E417" s="1">
        <v>23</v>
      </c>
      <c r="F417" s="1">
        <v>150</v>
      </c>
      <c r="G417" s="1">
        <v>3450</v>
      </c>
      <c r="H417" s="1">
        <v>0.11</v>
      </c>
      <c r="I417" s="1">
        <v>380</v>
      </c>
      <c r="J417" t="s">
        <v>28</v>
      </c>
    </row>
    <row r="418" spans="1:10" x14ac:dyDescent="0.35">
      <c r="A418" t="s">
        <v>448</v>
      </c>
      <c r="B418" s="2">
        <v>43290</v>
      </c>
      <c r="C418" t="s">
        <v>34</v>
      </c>
      <c r="D418" t="s">
        <v>12</v>
      </c>
      <c r="E418" s="1">
        <v>11</v>
      </c>
      <c r="F418" s="1">
        <v>150</v>
      </c>
      <c r="G418" s="1">
        <v>1650</v>
      </c>
      <c r="H418" s="1">
        <v>0.05</v>
      </c>
      <c r="I418" s="1">
        <v>82</v>
      </c>
      <c r="J418" t="s">
        <v>32</v>
      </c>
    </row>
    <row r="419" spans="1:10" x14ac:dyDescent="0.35">
      <c r="A419" t="s">
        <v>449</v>
      </c>
      <c r="B419" s="2">
        <v>43290</v>
      </c>
      <c r="C419" t="s">
        <v>11</v>
      </c>
      <c r="D419" t="s">
        <v>31</v>
      </c>
      <c r="E419" s="1">
        <v>16</v>
      </c>
      <c r="F419" s="1">
        <v>80</v>
      </c>
      <c r="G419" s="1">
        <v>1280</v>
      </c>
      <c r="H419" s="1">
        <v>0.05</v>
      </c>
      <c r="I419" s="1">
        <v>64</v>
      </c>
      <c r="J419" t="s">
        <v>35</v>
      </c>
    </row>
    <row r="420" spans="1:10" x14ac:dyDescent="0.35">
      <c r="A420" t="s">
        <v>450</v>
      </c>
      <c r="B420" s="2">
        <v>43290</v>
      </c>
      <c r="C420" t="s">
        <v>19</v>
      </c>
      <c r="D420" t="s">
        <v>24</v>
      </c>
      <c r="E420" s="1">
        <v>5</v>
      </c>
      <c r="F420" s="1">
        <v>230</v>
      </c>
      <c r="G420" s="1">
        <v>1150</v>
      </c>
      <c r="H420" s="1">
        <v>0.1</v>
      </c>
      <c r="I420" s="1">
        <v>115</v>
      </c>
      <c r="J420" t="s">
        <v>37</v>
      </c>
    </row>
    <row r="421" spans="1:10" x14ac:dyDescent="0.35">
      <c r="A421" t="s">
        <v>451</v>
      </c>
      <c r="B421" s="2">
        <v>43290</v>
      </c>
      <c r="C421" t="s">
        <v>30</v>
      </c>
      <c r="D421" t="s">
        <v>12</v>
      </c>
      <c r="E421" s="1">
        <v>22</v>
      </c>
      <c r="F421" s="1">
        <v>16</v>
      </c>
      <c r="G421" s="1">
        <v>352</v>
      </c>
      <c r="H421" s="1">
        <v>0.01</v>
      </c>
      <c r="I421" s="1">
        <v>4</v>
      </c>
      <c r="J421" t="s">
        <v>39</v>
      </c>
    </row>
    <row r="422" spans="1:10" x14ac:dyDescent="0.35">
      <c r="A422" t="s">
        <v>452</v>
      </c>
      <c r="B422" s="2">
        <v>43290</v>
      </c>
      <c r="C422" t="s">
        <v>15</v>
      </c>
      <c r="D422" t="s">
        <v>31</v>
      </c>
      <c r="E422" s="1">
        <v>7</v>
      </c>
      <c r="F422" s="1">
        <v>40</v>
      </c>
      <c r="G422" s="1">
        <v>280</v>
      </c>
      <c r="H422" s="1">
        <v>0.12</v>
      </c>
      <c r="I422" s="1">
        <v>34</v>
      </c>
      <c r="J422" t="s">
        <v>13</v>
      </c>
    </row>
    <row r="423" spans="1:10" x14ac:dyDescent="0.35">
      <c r="A423" t="s">
        <v>453</v>
      </c>
      <c r="B423" s="2">
        <v>43290</v>
      </c>
      <c r="C423" t="s">
        <v>11</v>
      </c>
      <c r="D423" t="s">
        <v>16</v>
      </c>
      <c r="E423" s="1">
        <v>2</v>
      </c>
      <c r="F423" s="1">
        <v>80</v>
      </c>
      <c r="G423" s="1">
        <v>160</v>
      </c>
      <c r="H423" s="1">
        <v>0.04</v>
      </c>
      <c r="I423" s="1">
        <v>6</v>
      </c>
      <c r="J423" t="s">
        <v>17</v>
      </c>
    </row>
    <row r="424" spans="1:10" x14ac:dyDescent="0.35">
      <c r="A424" t="s">
        <v>454</v>
      </c>
      <c r="B424" s="2">
        <v>43290</v>
      </c>
      <c r="C424" t="s">
        <v>15</v>
      </c>
      <c r="D424" t="s">
        <v>27</v>
      </c>
      <c r="E424" s="1">
        <v>6</v>
      </c>
      <c r="F424" s="1">
        <v>40</v>
      </c>
      <c r="G424" s="1">
        <v>240</v>
      </c>
      <c r="H424" s="1">
        <v>7.0000000000000007E-2</v>
      </c>
      <c r="I424" s="1">
        <v>17</v>
      </c>
      <c r="J424" t="s">
        <v>20</v>
      </c>
    </row>
    <row r="425" spans="1:10" x14ac:dyDescent="0.35">
      <c r="A425" t="s">
        <v>455</v>
      </c>
      <c r="B425" s="2">
        <v>43290</v>
      </c>
      <c r="C425" t="s">
        <v>11</v>
      </c>
      <c r="D425" t="s">
        <v>24</v>
      </c>
      <c r="E425" s="1">
        <v>6</v>
      </c>
      <c r="F425" s="1">
        <v>80</v>
      </c>
      <c r="G425" s="1">
        <v>480</v>
      </c>
      <c r="H425" s="1">
        <v>0.01</v>
      </c>
      <c r="I425" s="1">
        <v>5</v>
      </c>
      <c r="J425" t="s">
        <v>22</v>
      </c>
    </row>
    <row r="426" spans="1:10" x14ac:dyDescent="0.35">
      <c r="A426" t="s">
        <v>456</v>
      </c>
      <c r="B426" s="2">
        <v>43290</v>
      </c>
      <c r="C426" t="s">
        <v>30</v>
      </c>
      <c r="D426" t="s">
        <v>16</v>
      </c>
      <c r="E426" s="1">
        <v>22</v>
      </c>
      <c r="F426" s="1">
        <v>16</v>
      </c>
      <c r="G426" s="1">
        <v>352</v>
      </c>
      <c r="H426" s="1">
        <v>0.01</v>
      </c>
      <c r="I426" s="1">
        <v>4</v>
      </c>
      <c r="J426" t="s">
        <v>25</v>
      </c>
    </row>
    <row r="427" spans="1:10" x14ac:dyDescent="0.35">
      <c r="A427" t="s">
        <v>457</v>
      </c>
      <c r="B427" s="2">
        <v>43290</v>
      </c>
      <c r="C427" t="s">
        <v>19</v>
      </c>
      <c r="D427" t="s">
        <v>27</v>
      </c>
      <c r="E427" s="1">
        <v>7</v>
      </c>
      <c r="F427" s="1">
        <v>230</v>
      </c>
      <c r="G427" s="1">
        <v>1610</v>
      </c>
      <c r="H427" s="1">
        <v>0.06</v>
      </c>
      <c r="I427" s="1">
        <v>97</v>
      </c>
      <c r="J427" t="s">
        <v>28</v>
      </c>
    </row>
    <row r="428" spans="1:10" x14ac:dyDescent="0.35">
      <c r="A428" t="s">
        <v>458</v>
      </c>
      <c r="B428" s="2">
        <v>43291</v>
      </c>
      <c r="C428" t="s">
        <v>30</v>
      </c>
      <c r="D428" t="s">
        <v>27</v>
      </c>
      <c r="E428" s="1">
        <v>22</v>
      </c>
      <c r="F428" s="1">
        <v>16</v>
      </c>
      <c r="G428" s="1">
        <v>352</v>
      </c>
      <c r="H428" s="1">
        <v>0.03</v>
      </c>
      <c r="I428" s="1">
        <v>11</v>
      </c>
      <c r="J428" t="s">
        <v>32</v>
      </c>
    </row>
    <row r="429" spans="1:10" x14ac:dyDescent="0.35">
      <c r="A429" t="s">
        <v>459</v>
      </c>
      <c r="B429" s="2">
        <v>43291</v>
      </c>
      <c r="C429" t="s">
        <v>15</v>
      </c>
      <c r="D429" t="s">
        <v>31</v>
      </c>
      <c r="E429" s="1">
        <v>20</v>
      </c>
      <c r="F429" s="1">
        <v>40</v>
      </c>
      <c r="G429" s="1">
        <v>800</v>
      </c>
      <c r="H429" s="1">
        <v>0.05</v>
      </c>
      <c r="I429" s="1">
        <v>40</v>
      </c>
      <c r="J429" t="s">
        <v>35</v>
      </c>
    </row>
    <row r="430" spans="1:10" x14ac:dyDescent="0.35">
      <c r="A430" t="s">
        <v>460</v>
      </c>
      <c r="B430" s="2">
        <v>43291</v>
      </c>
      <c r="C430" t="s">
        <v>15</v>
      </c>
      <c r="D430" t="s">
        <v>16</v>
      </c>
      <c r="E430" s="1">
        <v>19</v>
      </c>
      <c r="F430" s="1">
        <v>40</v>
      </c>
      <c r="G430" s="1">
        <v>760</v>
      </c>
      <c r="H430" s="1">
        <v>0.1</v>
      </c>
      <c r="I430" s="1">
        <v>76</v>
      </c>
      <c r="J430" t="s">
        <v>37</v>
      </c>
    </row>
    <row r="431" spans="1:10" x14ac:dyDescent="0.35">
      <c r="A431" t="s">
        <v>461</v>
      </c>
      <c r="B431" s="2">
        <v>43291</v>
      </c>
      <c r="C431" t="s">
        <v>30</v>
      </c>
      <c r="D431" t="s">
        <v>12</v>
      </c>
      <c r="E431" s="1">
        <v>18</v>
      </c>
      <c r="F431" s="1">
        <v>16</v>
      </c>
      <c r="G431" s="1">
        <v>288</v>
      </c>
      <c r="H431" s="1">
        <v>0.05</v>
      </c>
      <c r="I431" s="1">
        <v>14</v>
      </c>
      <c r="J431" t="s">
        <v>39</v>
      </c>
    </row>
    <row r="432" spans="1:10" x14ac:dyDescent="0.35">
      <c r="A432" t="s">
        <v>462</v>
      </c>
      <c r="B432" s="2">
        <v>43291</v>
      </c>
      <c r="C432" t="s">
        <v>15</v>
      </c>
      <c r="D432" t="s">
        <v>24</v>
      </c>
      <c r="E432" s="1">
        <v>2</v>
      </c>
      <c r="F432" s="1">
        <v>40</v>
      </c>
      <c r="G432" s="1">
        <v>80</v>
      </c>
      <c r="H432" s="1">
        <v>0.02</v>
      </c>
      <c r="I432" s="1">
        <v>2</v>
      </c>
      <c r="J432" t="s">
        <v>41</v>
      </c>
    </row>
    <row r="433" spans="1:10" x14ac:dyDescent="0.35">
      <c r="A433" t="s">
        <v>463</v>
      </c>
      <c r="B433" s="2">
        <v>43291</v>
      </c>
      <c r="C433" t="s">
        <v>15</v>
      </c>
      <c r="D433" t="s">
        <v>27</v>
      </c>
      <c r="E433" s="1">
        <v>7</v>
      </c>
      <c r="F433" s="1">
        <v>40</v>
      </c>
      <c r="G433" s="1">
        <v>280</v>
      </c>
      <c r="H433" s="1">
        <v>7.0000000000000007E-2</v>
      </c>
      <c r="I433" s="1">
        <v>20</v>
      </c>
      <c r="J433" t="s">
        <v>43</v>
      </c>
    </row>
    <row r="434" spans="1:10" x14ac:dyDescent="0.35">
      <c r="A434" t="s">
        <v>464</v>
      </c>
      <c r="B434" s="2">
        <v>43291</v>
      </c>
      <c r="C434" t="s">
        <v>34</v>
      </c>
      <c r="D434" t="s">
        <v>24</v>
      </c>
      <c r="E434" s="1">
        <v>11</v>
      </c>
      <c r="F434" s="1">
        <v>150</v>
      </c>
      <c r="G434" s="1">
        <v>1650</v>
      </c>
      <c r="H434" s="1">
        <v>0.05</v>
      </c>
      <c r="I434" s="1">
        <v>82</v>
      </c>
      <c r="J434" t="s">
        <v>13</v>
      </c>
    </row>
    <row r="435" spans="1:10" x14ac:dyDescent="0.35">
      <c r="A435" t="s">
        <v>465</v>
      </c>
      <c r="B435" s="2">
        <v>43291</v>
      </c>
      <c r="C435" t="s">
        <v>11</v>
      </c>
      <c r="D435" t="s">
        <v>16</v>
      </c>
      <c r="E435" s="1">
        <v>14</v>
      </c>
      <c r="F435" s="1">
        <v>80</v>
      </c>
      <c r="G435" s="1">
        <v>1120</v>
      </c>
      <c r="H435" s="1">
        <v>0.11</v>
      </c>
      <c r="I435" s="1">
        <v>123</v>
      </c>
      <c r="J435" t="s">
        <v>17</v>
      </c>
    </row>
    <row r="436" spans="1:10" x14ac:dyDescent="0.35">
      <c r="A436" t="s">
        <v>466</v>
      </c>
      <c r="B436" s="2">
        <v>43291</v>
      </c>
      <c r="C436" t="s">
        <v>15</v>
      </c>
      <c r="D436" t="s">
        <v>31</v>
      </c>
      <c r="E436" s="1">
        <v>7</v>
      </c>
      <c r="F436" s="1">
        <v>40</v>
      </c>
      <c r="G436" s="1">
        <v>280</v>
      </c>
      <c r="H436" s="1">
        <v>0.04</v>
      </c>
      <c r="I436" s="1">
        <v>11</v>
      </c>
      <c r="J436" t="s">
        <v>20</v>
      </c>
    </row>
    <row r="437" spans="1:10" x14ac:dyDescent="0.35">
      <c r="A437" t="s">
        <v>467</v>
      </c>
      <c r="B437" s="2">
        <v>43291</v>
      </c>
      <c r="C437" t="s">
        <v>11</v>
      </c>
      <c r="D437" t="s">
        <v>27</v>
      </c>
      <c r="E437" s="1">
        <v>14</v>
      </c>
      <c r="F437" s="1">
        <v>80</v>
      </c>
      <c r="G437" s="1">
        <v>1120</v>
      </c>
      <c r="H437" s="1">
        <v>0.05</v>
      </c>
      <c r="I437" s="1">
        <v>56</v>
      </c>
      <c r="J437" t="s">
        <v>22</v>
      </c>
    </row>
    <row r="438" spans="1:10" x14ac:dyDescent="0.35">
      <c r="A438" t="s">
        <v>468</v>
      </c>
      <c r="B438" s="2">
        <v>43292</v>
      </c>
      <c r="C438" t="s">
        <v>30</v>
      </c>
      <c r="D438" t="s">
        <v>24</v>
      </c>
      <c r="E438" s="1">
        <v>12</v>
      </c>
      <c r="F438" s="1">
        <v>16</v>
      </c>
      <c r="G438" s="1">
        <v>192</v>
      </c>
      <c r="H438" s="1">
        <v>0.11</v>
      </c>
      <c r="I438" s="1">
        <v>21</v>
      </c>
      <c r="J438" t="s">
        <v>25</v>
      </c>
    </row>
    <row r="439" spans="1:10" x14ac:dyDescent="0.35">
      <c r="A439" t="s">
        <v>469</v>
      </c>
      <c r="B439" s="2">
        <v>43292</v>
      </c>
      <c r="C439" t="s">
        <v>15</v>
      </c>
      <c r="D439" t="s">
        <v>31</v>
      </c>
      <c r="E439" s="1">
        <v>11</v>
      </c>
      <c r="F439" s="1">
        <v>40</v>
      </c>
      <c r="G439" s="1">
        <v>440</v>
      </c>
      <c r="H439" s="1">
        <v>0.05</v>
      </c>
      <c r="I439" s="1">
        <v>22</v>
      </c>
      <c r="J439" t="s">
        <v>28</v>
      </c>
    </row>
    <row r="440" spans="1:10" x14ac:dyDescent="0.35">
      <c r="A440" t="s">
        <v>470</v>
      </c>
      <c r="B440" s="2">
        <v>43292</v>
      </c>
      <c r="C440" t="s">
        <v>30</v>
      </c>
      <c r="D440" t="s">
        <v>24</v>
      </c>
      <c r="E440" s="1">
        <v>14</v>
      </c>
      <c r="F440" s="1">
        <v>16</v>
      </c>
      <c r="G440" s="1">
        <v>224</v>
      </c>
      <c r="H440" s="1">
        <v>0.01</v>
      </c>
      <c r="I440" s="1">
        <v>2</v>
      </c>
      <c r="J440" t="s">
        <v>32</v>
      </c>
    </row>
    <row r="441" spans="1:10" x14ac:dyDescent="0.35">
      <c r="A441" t="s">
        <v>471</v>
      </c>
      <c r="B441" s="2">
        <v>43292</v>
      </c>
      <c r="C441" t="s">
        <v>19</v>
      </c>
      <c r="D441" t="s">
        <v>27</v>
      </c>
      <c r="E441" s="1">
        <v>2</v>
      </c>
      <c r="F441" s="1">
        <v>230</v>
      </c>
      <c r="G441" s="1">
        <v>460</v>
      </c>
      <c r="H441" s="1">
        <v>0.08</v>
      </c>
      <c r="I441" s="1">
        <v>37</v>
      </c>
      <c r="J441" t="s">
        <v>35</v>
      </c>
    </row>
    <row r="442" spans="1:10" x14ac:dyDescent="0.35">
      <c r="A442" t="s">
        <v>472</v>
      </c>
      <c r="B442" s="2">
        <v>43292</v>
      </c>
      <c r="C442" t="s">
        <v>30</v>
      </c>
      <c r="D442" t="s">
        <v>12</v>
      </c>
      <c r="E442" s="1">
        <v>20</v>
      </c>
      <c r="F442" s="1">
        <v>16</v>
      </c>
      <c r="G442" s="1">
        <v>320</v>
      </c>
      <c r="H442" s="1">
        <v>0.11</v>
      </c>
      <c r="I442" s="1">
        <v>35</v>
      </c>
      <c r="J442" t="s">
        <v>37</v>
      </c>
    </row>
    <row r="443" spans="1:10" x14ac:dyDescent="0.35">
      <c r="A443" t="s">
        <v>473</v>
      </c>
      <c r="B443" s="2">
        <v>43292</v>
      </c>
      <c r="C443" t="s">
        <v>30</v>
      </c>
      <c r="D443" t="s">
        <v>24</v>
      </c>
      <c r="E443" s="1">
        <v>6</v>
      </c>
      <c r="F443" s="1">
        <v>16</v>
      </c>
      <c r="G443" s="1">
        <v>96</v>
      </c>
      <c r="H443" s="1">
        <v>0.06</v>
      </c>
      <c r="I443" s="1">
        <v>6</v>
      </c>
      <c r="J443" t="s">
        <v>39</v>
      </c>
    </row>
    <row r="444" spans="1:10" x14ac:dyDescent="0.35">
      <c r="A444" t="s">
        <v>474</v>
      </c>
      <c r="B444" s="2">
        <v>43292</v>
      </c>
      <c r="C444" t="s">
        <v>11</v>
      </c>
      <c r="D444" t="s">
        <v>27</v>
      </c>
      <c r="E444" s="1">
        <v>17</v>
      </c>
      <c r="F444" s="1">
        <v>80</v>
      </c>
      <c r="G444" s="1">
        <v>1360</v>
      </c>
      <c r="H444" s="1">
        <v>0.05</v>
      </c>
      <c r="I444" s="1">
        <v>68</v>
      </c>
      <c r="J444" t="s">
        <v>41</v>
      </c>
    </row>
    <row r="445" spans="1:10" x14ac:dyDescent="0.35">
      <c r="A445" t="s">
        <v>475</v>
      </c>
      <c r="B445" s="2">
        <v>43292</v>
      </c>
      <c r="C445" t="s">
        <v>15</v>
      </c>
      <c r="D445" t="s">
        <v>12</v>
      </c>
      <c r="E445" s="1">
        <v>2</v>
      </c>
      <c r="F445" s="1">
        <v>40</v>
      </c>
      <c r="G445" s="1">
        <v>80</v>
      </c>
      <c r="H445" s="1">
        <v>0.12</v>
      </c>
      <c r="I445" s="1">
        <v>10</v>
      </c>
      <c r="J445" t="s">
        <v>43</v>
      </c>
    </row>
    <row r="446" spans="1:10" x14ac:dyDescent="0.35">
      <c r="A446" t="s">
        <v>476</v>
      </c>
      <c r="B446" s="2">
        <v>43292</v>
      </c>
      <c r="C446" t="s">
        <v>30</v>
      </c>
      <c r="D446" t="s">
        <v>12</v>
      </c>
      <c r="E446" s="1">
        <v>7</v>
      </c>
      <c r="F446" s="1">
        <v>16</v>
      </c>
      <c r="G446" s="1">
        <v>112</v>
      </c>
      <c r="H446" s="1">
        <v>0.12</v>
      </c>
      <c r="I446" s="1">
        <v>13</v>
      </c>
      <c r="J446" t="s">
        <v>13</v>
      </c>
    </row>
    <row r="447" spans="1:10" x14ac:dyDescent="0.35">
      <c r="A447" t="s">
        <v>477</v>
      </c>
      <c r="B447" s="2">
        <v>43292</v>
      </c>
      <c r="C447" t="s">
        <v>34</v>
      </c>
      <c r="D447" t="s">
        <v>12</v>
      </c>
      <c r="E447" s="1">
        <v>7</v>
      </c>
      <c r="F447" s="1">
        <v>150</v>
      </c>
      <c r="G447" s="1">
        <v>1050</v>
      </c>
      <c r="H447" s="1">
        <v>0.02</v>
      </c>
      <c r="I447" s="1">
        <v>21</v>
      </c>
      <c r="J447" t="s">
        <v>17</v>
      </c>
    </row>
    <row r="448" spans="1:10" x14ac:dyDescent="0.35">
      <c r="A448" t="s">
        <v>478</v>
      </c>
      <c r="B448" s="2">
        <v>43292</v>
      </c>
      <c r="C448" t="s">
        <v>11</v>
      </c>
      <c r="D448" t="s">
        <v>12</v>
      </c>
      <c r="E448" s="1">
        <v>20</v>
      </c>
      <c r="F448" s="1">
        <v>80</v>
      </c>
      <c r="G448" s="1">
        <v>1600</v>
      </c>
      <c r="H448" s="1">
        <v>0.01</v>
      </c>
      <c r="I448" s="1">
        <v>16</v>
      </c>
      <c r="J448" t="s">
        <v>20</v>
      </c>
    </row>
    <row r="449" spans="1:10" x14ac:dyDescent="0.35">
      <c r="A449" t="s">
        <v>479</v>
      </c>
      <c r="B449" s="2">
        <v>43292</v>
      </c>
      <c r="C449" t="s">
        <v>11</v>
      </c>
      <c r="D449" t="s">
        <v>27</v>
      </c>
      <c r="E449" s="1">
        <v>11</v>
      </c>
      <c r="F449" s="1">
        <v>80</v>
      </c>
      <c r="G449" s="1">
        <v>880</v>
      </c>
      <c r="H449" s="1">
        <v>0.01</v>
      </c>
      <c r="I449" s="1">
        <v>9</v>
      </c>
      <c r="J449" t="s">
        <v>22</v>
      </c>
    </row>
    <row r="450" spans="1:10" x14ac:dyDescent="0.35">
      <c r="A450" t="s">
        <v>480</v>
      </c>
      <c r="B450" s="2">
        <v>43292</v>
      </c>
      <c r="C450" t="s">
        <v>11</v>
      </c>
      <c r="D450" t="s">
        <v>24</v>
      </c>
      <c r="E450" s="1">
        <v>10</v>
      </c>
      <c r="F450" s="1">
        <v>80</v>
      </c>
      <c r="G450" s="1">
        <v>800</v>
      </c>
      <c r="H450" s="1">
        <v>0.08</v>
      </c>
      <c r="I450" s="1">
        <v>64</v>
      </c>
      <c r="J450" t="s">
        <v>25</v>
      </c>
    </row>
    <row r="451" spans="1:10" x14ac:dyDescent="0.35">
      <c r="A451" t="s">
        <v>481</v>
      </c>
      <c r="B451" s="2">
        <v>43293</v>
      </c>
      <c r="C451" t="s">
        <v>11</v>
      </c>
      <c r="D451" t="s">
        <v>16</v>
      </c>
      <c r="E451" s="1">
        <v>5</v>
      </c>
      <c r="F451" s="1">
        <v>80</v>
      </c>
      <c r="G451" s="1">
        <v>400</v>
      </c>
      <c r="H451" s="1">
        <v>0.04</v>
      </c>
      <c r="I451" s="1">
        <v>16</v>
      </c>
      <c r="J451" t="s">
        <v>28</v>
      </c>
    </row>
    <row r="452" spans="1:10" x14ac:dyDescent="0.35">
      <c r="A452" t="s">
        <v>482</v>
      </c>
      <c r="B452" s="2">
        <v>43293</v>
      </c>
      <c r="C452" t="s">
        <v>11</v>
      </c>
      <c r="D452" t="s">
        <v>27</v>
      </c>
      <c r="E452" s="1">
        <v>4</v>
      </c>
      <c r="F452" s="1">
        <v>80</v>
      </c>
      <c r="G452" s="1">
        <v>320</v>
      </c>
      <c r="H452" s="1">
        <v>0.11</v>
      </c>
      <c r="I452" s="1">
        <v>35</v>
      </c>
      <c r="J452" t="s">
        <v>32</v>
      </c>
    </row>
    <row r="453" spans="1:10" x14ac:dyDescent="0.35">
      <c r="A453" t="s">
        <v>483</v>
      </c>
      <c r="B453" s="2">
        <v>43293</v>
      </c>
      <c r="C453" t="s">
        <v>30</v>
      </c>
      <c r="D453" t="s">
        <v>24</v>
      </c>
      <c r="E453" s="1">
        <v>3</v>
      </c>
      <c r="F453" s="1">
        <v>16</v>
      </c>
      <c r="G453" s="1">
        <v>48</v>
      </c>
      <c r="H453" s="1">
        <v>0.05</v>
      </c>
      <c r="I453" s="1">
        <v>2</v>
      </c>
      <c r="J453" t="s">
        <v>35</v>
      </c>
    </row>
    <row r="454" spans="1:10" x14ac:dyDescent="0.35">
      <c r="A454" t="s">
        <v>484</v>
      </c>
      <c r="B454" s="2">
        <v>43293</v>
      </c>
      <c r="C454" t="s">
        <v>11</v>
      </c>
      <c r="D454" t="s">
        <v>12</v>
      </c>
      <c r="E454" s="1">
        <v>9</v>
      </c>
      <c r="F454" s="1">
        <v>80</v>
      </c>
      <c r="G454" s="1">
        <v>720</v>
      </c>
      <c r="H454" s="1">
        <v>0.04</v>
      </c>
      <c r="I454" s="1">
        <v>29</v>
      </c>
      <c r="J454" t="s">
        <v>37</v>
      </c>
    </row>
    <row r="455" spans="1:10" x14ac:dyDescent="0.35">
      <c r="A455" t="s">
        <v>485</v>
      </c>
      <c r="B455" s="2">
        <v>43293</v>
      </c>
      <c r="C455" t="s">
        <v>11</v>
      </c>
      <c r="D455" t="s">
        <v>31</v>
      </c>
      <c r="E455" s="1">
        <v>16</v>
      </c>
      <c r="F455" s="1">
        <v>80</v>
      </c>
      <c r="G455" s="1">
        <v>1280</v>
      </c>
      <c r="H455" s="1">
        <v>0.09</v>
      </c>
      <c r="I455" s="1">
        <v>115</v>
      </c>
      <c r="J455" t="s">
        <v>39</v>
      </c>
    </row>
    <row r="456" spans="1:10" x14ac:dyDescent="0.35">
      <c r="A456" t="s">
        <v>486</v>
      </c>
      <c r="B456" s="2">
        <v>43294</v>
      </c>
      <c r="C456" t="s">
        <v>30</v>
      </c>
      <c r="D456" t="s">
        <v>16</v>
      </c>
      <c r="E456" s="1">
        <v>7</v>
      </c>
      <c r="F456" s="1">
        <v>16</v>
      </c>
      <c r="G456" s="1">
        <v>112</v>
      </c>
      <c r="H456" s="1">
        <v>0.08</v>
      </c>
      <c r="I456" s="1">
        <v>9</v>
      </c>
      <c r="J456" t="s">
        <v>41</v>
      </c>
    </row>
    <row r="457" spans="1:10" x14ac:dyDescent="0.35">
      <c r="A457" t="s">
        <v>487</v>
      </c>
      <c r="B457" s="2">
        <v>43294</v>
      </c>
      <c r="C457" t="s">
        <v>34</v>
      </c>
      <c r="D457" t="s">
        <v>16</v>
      </c>
      <c r="E457" s="1">
        <v>16</v>
      </c>
      <c r="F457" s="1">
        <v>150</v>
      </c>
      <c r="G457" s="1">
        <v>2400</v>
      </c>
      <c r="H457" s="1">
        <v>0.05</v>
      </c>
      <c r="I457" s="1">
        <v>120</v>
      </c>
      <c r="J457" t="s">
        <v>43</v>
      </c>
    </row>
    <row r="458" spans="1:10" x14ac:dyDescent="0.35">
      <c r="A458" t="s">
        <v>488</v>
      </c>
      <c r="B458" s="2">
        <v>43294</v>
      </c>
      <c r="C458" t="s">
        <v>30</v>
      </c>
      <c r="D458" t="s">
        <v>27</v>
      </c>
      <c r="E458" s="1">
        <v>10</v>
      </c>
      <c r="F458" s="1">
        <v>16</v>
      </c>
      <c r="G458" s="1">
        <v>160</v>
      </c>
      <c r="H458" s="1">
        <v>0.04</v>
      </c>
      <c r="I458" s="1">
        <v>6</v>
      </c>
      <c r="J458" t="s">
        <v>13</v>
      </c>
    </row>
    <row r="459" spans="1:10" x14ac:dyDescent="0.35">
      <c r="A459" t="s">
        <v>489</v>
      </c>
      <c r="B459" s="2">
        <v>43294</v>
      </c>
      <c r="C459" t="s">
        <v>15</v>
      </c>
      <c r="D459" t="s">
        <v>16</v>
      </c>
      <c r="E459" s="1">
        <v>4</v>
      </c>
      <c r="F459" s="1">
        <v>40</v>
      </c>
      <c r="G459" s="1">
        <v>160</v>
      </c>
      <c r="H459" s="1">
        <v>0.03</v>
      </c>
      <c r="I459" s="1">
        <v>5</v>
      </c>
      <c r="J459" t="s">
        <v>17</v>
      </c>
    </row>
    <row r="460" spans="1:10" x14ac:dyDescent="0.35">
      <c r="A460" t="s">
        <v>490</v>
      </c>
      <c r="B460" s="2">
        <v>43294</v>
      </c>
      <c r="C460" t="s">
        <v>15</v>
      </c>
      <c r="D460" t="s">
        <v>16</v>
      </c>
      <c r="E460" s="1">
        <v>15</v>
      </c>
      <c r="F460" s="1">
        <v>40</v>
      </c>
      <c r="G460" s="1">
        <v>600</v>
      </c>
      <c r="H460" s="1">
        <v>0.02</v>
      </c>
      <c r="I460" s="1">
        <v>12</v>
      </c>
      <c r="J460" t="s">
        <v>20</v>
      </c>
    </row>
    <row r="461" spans="1:10" x14ac:dyDescent="0.35">
      <c r="A461" t="s">
        <v>491</v>
      </c>
      <c r="B461" s="2">
        <v>43294</v>
      </c>
      <c r="C461" t="s">
        <v>11</v>
      </c>
      <c r="D461" t="s">
        <v>24</v>
      </c>
      <c r="E461" s="1">
        <v>6</v>
      </c>
      <c r="F461" s="1">
        <v>80</v>
      </c>
      <c r="G461" s="1">
        <v>480</v>
      </c>
      <c r="H461" s="1">
        <v>0.09</v>
      </c>
      <c r="I461" s="1">
        <v>43</v>
      </c>
      <c r="J461" t="s">
        <v>22</v>
      </c>
    </row>
    <row r="462" spans="1:10" x14ac:dyDescent="0.35">
      <c r="A462" t="s">
        <v>492</v>
      </c>
      <c r="B462" s="2">
        <v>43294</v>
      </c>
      <c r="C462" t="s">
        <v>34</v>
      </c>
      <c r="D462" t="s">
        <v>12</v>
      </c>
      <c r="E462" s="1">
        <v>20</v>
      </c>
      <c r="F462" s="1">
        <v>150</v>
      </c>
      <c r="G462" s="1">
        <v>3000</v>
      </c>
      <c r="H462" s="1">
        <v>0.01</v>
      </c>
      <c r="I462" s="1">
        <v>30</v>
      </c>
      <c r="J462" t="s">
        <v>25</v>
      </c>
    </row>
    <row r="463" spans="1:10" x14ac:dyDescent="0.35">
      <c r="A463" t="s">
        <v>493</v>
      </c>
      <c r="B463" s="2">
        <v>43294</v>
      </c>
      <c r="C463" t="s">
        <v>30</v>
      </c>
      <c r="D463" t="s">
        <v>12</v>
      </c>
      <c r="E463" s="1">
        <v>7</v>
      </c>
      <c r="F463" s="1">
        <v>16</v>
      </c>
      <c r="G463" s="1">
        <v>112</v>
      </c>
      <c r="H463" s="1">
        <v>0.08</v>
      </c>
      <c r="I463" s="1">
        <v>9</v>
      </c>
      <c r="J463" t="s">
        <v>28</v>
      </c>
    </row>
    <row r="464" spans="1:10" x14ac:dyDescent="0.35">
      <c r="A464" t="s">
        <v>494</v>
      </c>
      <c r="B464" s="2">
        <v>43294</v>
      </c>
      <c r="C464" t="s">
        <v>11</v>
      </c>
      <c r="D464" t="s">
        <v>16</v>
      </c>
      <c r="E464" s="1">
        <v>2</v>
      </c>
      <c r="F464" s="1">
        <v>80</v>
      </c>
      <c r="G464" s="1">
        <v>160</v>
      </c>
      <c r="H464" s="1">
        <v>7.0000000000000007E-2</v>
      </c>
      <c r="I464" s="1">
        <v>11</v>
      </c>
      <c r="J464" t="s">
        <v>32</v>
      </c>
    </row>
    <row r="465" spans="1:10" x14ac:dyDescent="0.35">
      <c r="A465" t="s">
        <v>495</v>
      </c>
      <c r="B465" s="2">
        <v>43294</v>
      </c>
      <c r="C465" t="s">
        <v>15</v>
      </c>
      <c r="D465" t="s">
        <v>16</v>
      </c>
      <c r="E465" s="1">
        <v>23</v>
      </c>
      <c r="F465" s="1">
        <v>40</v>
      </c>
      <c r="G465" s="1">
        <v>920</v>
      </c>
      <c r="H465" s="1">
        <v>0.06</v>
      </c>
      <c r="I465" s="1">
        <v>55</v>
      </c>
      <c r="J465" t="s">
        <v>35</v>
      </c>
    </row>
    <row r="466" spans="1:10" x14ac:dyDescent="0.35">
      <c r="A466" t="s">
        <v>496</v>
      </c>
      <c r="B466" s="2">
        <v>43294</v>
      </c>
      <c r="C466" t="s">
        <v>30</v>
      </c>
      <c r="D466" t="s">
        <v>12</v>
      </c>
      <c r="E466" s="1">
        <v>12</v>
      </c>
      <c r="F466" s="1">
        <v>16</v>
      </c>
      <c r="G466" s="1">
        <v>192</v>
      </c>
      <c r="H466" s="1">
        <v>0.11</v>
      </c>
      <c r="I466" s="1">
        <v>21</v>
      </c>
      <c r="J466" t="s">
        <v>37</v>
      </c>
    </row>
    <row r="467" spans="1:10" x14ac:dyDescent="0.35">
      <c r="A467" t="s">
        <v>497</v>
      </c>
      <c r="B467" s="2">
        <v>43294</v>
      </c>
      <c r="C467" t="s">
        <v>19</v>
      </c>
      <c r="D467" t="s">
        <v>27</v>
      </c>
      <c r="E467" s="1">
        <v>2</v>
      </c>
      <c r="F467" s="1">
        <v>230</v>
      </c>
      <c r="G467" s="1">
        <v>460</v>
      </c>
      <c r="H467" s="1">
        <v>0.09</v>
      </c>
      <c r="I467" s="1">
        <v>41</v>
      </c>
      <c r="J467" t="s">
        <v>39</v>
      </c>
    </row>
    <row r="468" spans="1:10" x14ac:dyDescent="0.35">
      <c r="A468" t="s">
        <v>498</v>
      </c>
      <c r="B468" s="2">
        <v>43294</v>
      </c>
      <c r="C468" t="s">
        <v>34</v>
      </c>
      <c r="D468" t="s">
        <v>12</v>
      </c>
      <c r="E468" s="1">
        <v>4</v>
      </c>
      <c r="F468" s="1">
        <v>150</v>
      </c>
      <c r="G468" s="1">
        <v>600</v>
      </c>
      <c r="H468" s="1">
        <v>0.06</v>
      </c>
      <c r="I468" s="1">
        <v>36</v>
      </c>
      <c r="J468" t="s">
        <v>41</v>
      </c>
    </row>
    <row r="469" spans="1:10" x14ac:dyDescent="0.35">
      <c r="A469" t="s">
        <v>499</v>
      </c>
      <c r="B469" s="2">
        <v>43294</v>
      </c>
      <c r="C469" t="s">
        <v>15</v>
      </c>
      <c r="D469" t="s">
        <v>12</v>
      </c>
      <c r="E469" s="1">
        <v>23</v>
      </c>
      <c r="F469" s="1">
        <v>40</v>
      </c>
      <c r="G469" s="1">
        <v>920</v>
      </c>
      <c r="H469" s="1">
        <v>7.0000000000000007E-2</v>
      </c>
      <c r="I469" s="1">
        <v>64</v>
      </c>
      <c r="J469" t="s">
        <v>43</v>
      </c>
    </row>
    <row r="470" spans="1:10" x14ac:dyDescent="0.35">
      <c r="A470" t="s">
        <v>500</v>
      </c>
      <c r="B470" s="2">
        <v>43294</v>
      </c>
      <c r="C470" t="s">
        <v>30</v>
      </c>
      <c r="D470" t="s">
        <v>31</v>
      </c>
      <c r="E470" s="1">
        <v>2</v>
      </c>
      <c r="F470" s="1">
        <v>16</v>
      </c>
      <c r="G470" s="1">
        <v>32</v>
      </c>
      <c r="H470" s="1">
        <v>0.04</v>
      </c>
      <c r="I470" s="1">
        <v>1</v>
      </c>
      <c r="J470" t="s">
        <v>13</v>
      </c>
    </row>
    <row r="471" spans="1:10" x14ac:dyDescent="0.35">
      <c r="A471" t="s">
        <v>501</v>
      </c>
      <c r="B471" s="2">
        <v>43294</v>
      </c>
      <c r="C471" t="s">
        <v>34</v>
      </c>
      <c r="D471" t="s">
        <v>27</v>
      </c>
      <c r="E471" s="1">
        <v>7</v>
      </c>
      <c r="F471" s="1">
        <v>150</v>
      </c>
      <c r="G471" s="1">
        <v>1050</v>
      </c>
      <c r="H471" s="1">
        <v>0.05</v>
      </c>
      <c r="I471" s="1">
        <v>52</v>
      </c>
      <c r="J471" t="s">
        <v>17</v>
      </c>
    </row>
    <row r="472" spans="1:10" x14ac:dyDescent="0.35">
      <c r="A472" t="s">
        <v>502</v>
      </c>
      <c r="B472" s="2">
        <v>43295</v>
      </c>
      <c r="C472" t="s">
        <v>15</v>
      </c>
      <c r="D472" t="s">
        <v>12</v>
      </c>
      <c r="E472" s="1">
        <v>15</v>
      </c>
      <c r="F472" s="1">
        <v>40</v>
      </c>
      <c r="G472" s="1">
        <v>600</v>
      </c>
      <c r="H472" s="1">
        <v>0.06</v>
      </c>
      <c r="I472" s="1">
        <v>36</v>
      </c>
      <c r="J472" t="s">
        <v>20</v>
      </c>
    </row>
    <row r="473" spans="1:10" x14ac:dyDescent="0.35">
      <c r="A473" t="s">
        <v>503</v>
      </c>
      <c r="B473" s="2">
        <v>43295</v>
      </c>
      <c r="C473" t="s">
        <v>11</v>
      </c>
      <c r="D473" t="s">
        <v>27</v>
      </c>
      <c r="E473" s="1">
        <v>16</v>
      </c>
      <c r="F473" s="1">
        <v>80</v>
      </c>
      <c r="G473" s="1">
        <v>1280</v>
      </c>
      <c r="H473" s="1">
        <v>0.05</v>
      </c>
      <c r="I473" s="1">
        <v>64</v>
      </c>
      <c r="J473" t="s">
        <v>22</v>
      </c>
    </row>
    <row r="474" spans="1:10" x14ac:dyDescent="0.35">
      <c r="A474" t="s">
        <v>504</v>
      </c>
      <c r="B474" s="2">
        <v>43295</v>
      </c>
      <c r="C474" t="s">
        <v>15</v>
      </c>
      <c r="D474" t="s">
        <v>31</v>
      </c>
      <c r="E474" s="1">
        <v>16</v>
      </c>
      <c r="F474" s="1">
        <v>40</v>
      </c>
      <c r="G474" s="1">
        <v>640</v>
      </c>
      <c r="H474" s="1">
        <v>0.11</v>
      </c>
      <c r="I474" s="1">
        <v>70</v>
      </c>
      <c r="J474" t="s">
        <v>25</v>
      </c>
    </row>
    <row r="475" spans="1:10" x14ac:dyDescent="0.35">
      <c r="A475" t="s">
        <v>505</v>
      </c>
      <c r="B475" s="2">
        <v>43295</v>
      </c>
      <c r="C475" t="s">
        <v>30</v>
      </c>
      <c r="D475" t="s">
        <v>31</v>
      </c>
      <c r="E475" s="1">
        <v>23</v>
      </c>
      <c r="F475" s="1">
        <v>16</v>
      </c>
      <c r="G475" s="1">
        <v>368</v>
      </c>
      <c r="H475" s="1">
        <v>0.01</v>
      </c>
      <c r="I475" s="1">
        <v>4</v>
      </c>
      <c r="J475" t="s">
        <v>28</v>
      </c>
    </row>
    <row r="476" spans="1:10" x14ac:dyDescent="0.35">
      <c r="A476" t="s">
        <v>506</v>
      </c>
      <c r="B476" s="2">
        <v>43295</v>
      </c>
      <c r="C476" t="s">
        <v>19</v>
      </c>
      <c r="D476" t="s">
        <v>16</v>
      </c>
      <c r="E476" s="1">
        <v>12</v>
      </c>
      <c r="F476" s="1">
        <v>230</v>
      </c>
      <c r="G476" s="1">
        <v>2760</v>
      </c>
      <c r="H476" s="1">
        <v>0.03</v>
      </c>
      <c r="I476" s="1">
        <v>83</v>
      </c>
      <c r="J476" t="s">
        <v>32</v>
      </c>
    </row>
    <row r="477" spans="1:10" x14ac:dyDescent="0.35">
      <c r="A477" t="s">
        <v>507</v>
      </c>
      <c r="B477" s="2">
        <v>43295</v>
      </c>
      <c r="C477" t="s">
        <v>30</v>
      </c>
      <c r="D477" t="s">
        <v>12</v>
      </c>
      <c r="E477" s="1">
        <v>4</v>
      </c>
      <c r="F477" s="1">
        <v>16</v>
      </c>
      <c r="G477" s="1">
        <v>64</v>
      </c>
      <c r="H477" s="1">
        <v>0.12</v>
      </c>
      <c r="I477" s="1">
        <v>8</v>
      </c>
      <c r="J477" t="s">
        <v>35</v>
      </c>
    </row>
    <row r="478" spans="1:10" x14ac:dyDescent="0.35">
      <c r="A478" t="s">
        <v>508</v>
      </c>
      <c r="B478" s="2">
        <v>43295</v>
      </c>
      <c r="C478" t="s">
        <v>34</v>
      </c>
      <c r="D478" t="s">
        <v>27</v>
      </c>
      <c r="E478" s="1">
        <v>3</v>
      </c>
      <c r="F478" s="1">
        <v>150</v>
      </c>
      <c r="G478" s="1">
        <v>450</v>
      </c>
      <c r="H478" s="1">
        <v>0.01</v>
      </c>
      <c r="I478" s="1">
        <v>4</v>
      </c>
      <c r="J478" t="s">
        <v>37</v>
      </c>
    </row>
    <row r="479" spans="1:10" x14ac:dyDescent="0.35">
      <c r="A479" t="s">
        <v>509</v>
      </c>
      <c r="B479" s="2">
        <v>43295</v>
      </c>
      <c r="C479" t="s">
        <v>34</v>
      </c>
      <c r="D479" t="s">
        <v>16</v>
      </c>
      <c r="E479" s="1">
        <v>10</v>
      </c>
      <c r="F479" s="1">
        <v>150</v>
      </c>
      <c r="G479" s="1">
        <v>1500</v>
      </c>
      <c r="H479" s="1">
        <v>0.01</v>
      </c>
      <c r="I479" s="1">
        <v>15</v>
      </c>
      <c r="J479" t="s">
        <v>39</v>
      </c>
    </row>
    <row r="480" spans="1:10" x14ac:dyDescent="0.35">
      <c r="A480" t="s">
        <v>510</v>
      </c>
      <c r="B480" s="2">
        <v>43295</v>
      </c>
      <c r="C480" t="s">
        <v>11</v>
      </c>
      <c r="D480" t="s">
        <v>16</v>
      </c>
      <c r="E480" s="1">
        <v>13</v>
      </c>
      <c r="F480" s="1">
        <v>80</v>
      </c>
      <c r="G480" s="1">
        <v>1040</v>
      </c>
      <c r="H480" s="1">
        <v>0.06</v>
      </c>
      <c r="I480" s="1">
        <v>62</v>
      </c>
      <c r="J480" t="s">
        <v>41</v>
      </c>
    </row>
    <row r="481" spans="1:10" x14ac:dyDescent="0.35">
      <c r="A481" t="s">
        <v>511</v>
      </c>
      <c r="B481" s="2">
        <v>43295</v>
      </c>
      <c r="C481" t="s">
        <v>19</v>
      </c>
      <c r="D481" t="s">
        <v>24</v>
      </c>
      <c r="E481" s="1">
        <v>15</v>
      </c>
      <c r="F481" s="1">
        <v>230</v>
      </c>
      <c r="G481" s="1">
        <v>3450</v>
      </c>
      <c r="H481" s="1">
        <v>0.04</v>
      </c>
      <c r="I481" s="1">
        <v>138</v>
      </c>
      <c r="J481" t="s">
        <v>43</v>
      </c>
    </row>
    <row r="482" spans="1:10" x14ac:dyDescent="0.35">
      <c r="A482" t="s">
        <v>512</v>
      </c>
      <c r="B482" s="2">
        <v>43295</v>
      </c>
      <c r="C482" t="s">
        <v>34</v>
      </c>
      <c r="D482" t="s">
        <v>12</v>
      </c>
      <c r="E482" s="1">
        <v>23</v>
      </c>
      <c r="F482" s="1">
        <v>150</v>
      </c>
      <c r="G482" s="1">
        <v>3450</v>
      </c>
      <c r="H482" s="1">
        <v>0.1</v>
      </c>
      <c r="I482" s="1">
        <v>345</v>
      </c>
      <c r="J482" t="s">
        <v>13</v>
      </c>
    </row>
    <row r="483" spans="1:10" x14ac:dyDescent="0.35">
      <c r="A483" t="s">
        <v>513</v>
      </c>
      <c r="B483" s="2">
        <v>43295</v>
      </c>
      <c r="C483" t="s">
        <v>34</v>
      </c>
      <c r="D483" t="s">
        <v>16</v>
      </c>
      <c r="E483" s="1">
        <v>15</v>
      </c>
      <c r="F483" s="1">
        <v>150</v>
      </c>
      <c r="G483" s="1">
        <v>2250</v>
      </c>
      <c r="H483" s="1">
        <v>0.12</v>
      </c>
      <c r="I483" s="1">
        <v>270</v>
      </c>
      <c r="J483" t="s">
        <v>17</v>
      </c>
    </row>
    <row r="484" spans="1:10" x14ac:dyDescent="0.35">
      <c r="A484" t="s">
        <v>514</v>
      </c>
      <c r="B484" s="2">
        <v>43295</v>
      </c>
      <c r="C484" t="s">
        <v>34</v>
      </c>
      <c r="D484" t="s">
        <v>24</v>
      </c>
      <c r="E484" s="1">
        <v>20</v>
      </c>
      <c r="F484" s="1">
        <v>150</v>
      </c>
      <c r="G484" s="1">
        <v>3000</v>
      </c>
      <c r="H484" s="1">
        <v>0.12</v>
      </c>
      <c r="I484" s="1">
        <v>360</v>
      </c>
      <c r="J484" t="s">
        <v>20</v>
      </c>
    </row>
    <row r="485" spans="1:10" x14ac:dyDescent="0.35">
      <c r="A485" t="s">
        <v>515</v>
      </c>
      <c r="B485" s="2">
        <v>43295</v>
      </c>
      <c r="C485" t="s">
        <v>15</v>
      </c>
      <c r="D485" t="s">
        <v>27</v>
      </c>
      <c r="E485" s="1">
        <v>13</v>
      </c>
      <c r="F485" s="1">
        <v>40</v>
      </c>
      <c r="G485" s="1">
        <v>520</v>
      </c>
      <c r="H485" s="1">
        <v>0.09</v>
      </c>
      <c r="I485" s="1">
        <v>47</v>
      </c>
      <c r="J485" t="s">
        <v>22</v>
      </c>
    </row>
    <row r="486" spans="1:10" x14ac:dyDescent="0.35">
      <c r="A486" t="s">
        <v>516</v>
      </c>
      <c r="B486" s="2">
        <v>43296</v>
      </c>
      <c r="C486" t="s">
        <v>30</v>
      </c>
      <c r="D486" t="s">
        <v>24</v>
      </c>
      <c r="E486" s="1">
        <v>11</v>
      </c>
      <c r="F486" s="1">
        <v>16</v>
      </c>
      <c r="G486" s="1">
        <v>176</v>
      </c>
      <c r="H486" s="1">
        <v>0.04</v>
      </c>
      <c r="I486" s="1">
        <v>7</v>
      </c>
      <c r="J486" t="s">
        <v>25</v>
      </c>
    </row>
    <row r="487" spans="1:10" x14ac:dyDescent="0.35">
      <c r="A487" t="s">
        <v>517</v>
      </c>
      <c r="B487" s="2">
        <v>43296</v>
      </c>
      <c r="C487" t="s">
        <v>34</v>
      </c>
      <c r="D487" t="s">
        <v>24</v>
      </c>
      <c r="E487" s="1">
        <v>20</v>
      </c>
      <c r="F487" s="1">
        <v>150</v>
      </c>
      <c r="G487" s="1">
        <v>3000</v>
      </c>
      <c r="H487" s="1">
        <v>0.04</v>
      </c>
      <c r="I487" s="1">
        <v>120</v>
      </c>
      <c r="J487" t="s">
        <v>28</v>
      </c>
    </row>
    <row r="488" spans="1:10" x14ac:dyDescent="0.35">
      <c r="A488" t="s">
        <v>518</v>
      </c>
      <c r="B488" s="2">
        <v>43296</v>
      </c>
      <c r="C488" t="s">
        <v>15</v>
      </c>
      <c r="D488" t="s">
        <v>12</v>
      </c>
      <c r="E488" s="1">
        <v>18</v>
      </c>
      <c r="F488" s="1">
        <v>40</v>
      </c>
      <c r="G488" s="1">
        <v>720</v>
      </c>
      <c r="H488" s="1">
        <v>0.11</v>
      </c>
      <c r="I488" s="1">
        <v>79</v>
      </c>
      <c r="J488" t="s">
        <v>32</v>
      </c>
    </row>
    <row r="489" spans="1:10" x14ac:dyDescent="0.35">
      <c r="A489" t="s">
        <v>519</v>
      </c>
      <c r="B489" s="2">
        <v>43296</v>
      </c>
      <c r="C489" t="s">
        <v>15</v>
      </c>
      <c r="D489" t="s">
        <v>24</v>
      </c>
      <c r="E489" s="1">
        <v>2</v>
      </c>
      <c r="F489" s="1">
        <v>40</v>
      </c>
      <c r="G489" s="1">
        <v>80</v>
      </c>
      <c r="H489" s="1">
        <v>0.03</v>
      </c>
      <c r="I489" s="1">
        <v>2</v>
      </c>
      <c r="J489" t="s">
        <v>35</v>
      </c>
    </row>
    <row r="490" spans="1:10" x14ac:dyDescent="0.35">
      <c r="A490" t="s">
        <v>520</v>
      </c>
      <c r="B490" s="2">
        <v>43296</v>
      </c>
      <c r="C490" t="s">
        <v>30</v>
      </c>
      <c r="D490" t="s">
        <v>27</v>
      </c>
      <c r="E490" s="1">
        <v>15</v>
      </c>
      <c r="F490" s="1">
        <v>16</v>
      </c>
      <c r="G490" s="1">
        <v>240</v>
      </c>
      <c r="H490" s="1">
        <v>0.12</v>
      </c>
      <c r="I490" s="1">
        <v>29</v>
      </c>
      <c r="J490" t="s">
        <v>37</v>
      </c>
    </row>
    <row r="491" spans="1:10" x14ac:dyDescent="0.35">
      <c r="A491" t="s">
        <v>521</v>
      </c>
      <c r="B491" s="2">
        <v>43296</v>
      </c>
      <c r="C491" t="s">
        <v>30</v>
      </c>
      <c r="D491" t="s">
        <v>24</v>
      </c>
      <c r="E491" s="1">
        <v>9</v>
      </c>
      <c r="F491" s="1">
        <v>16</v>
      </c>
      <c r="G491" s="1">
        <v>144</v>
      </c>
      <c r="H491" s="1">
        <v>0.05</v>
      </c>
      <c r="I491" s="1">
        <v>7</v>
      </c>
      <c r="J491" t="s">
        <v>39</v>
      </c>
    </row>
    <row r="492" spans="1:10" x14ac:dyDescent="0.35">
      <c r="A492" t="s">
        <v>522</v>
      </c>
      <c r="B492" s="2">
        <v>43296</v>
      </c>
      <c r="C492" t="s">
        <v>15</v>
      </c>
      <c r="D492" t="s">
        <v>31</v>
      </c>
      <c r="E492" s="1">
        <v>7</v>
      </c>
      <c r="F492" s="1">
        <v>40</v>
      </c>
      <c r="G492" s="1">
        <v>280</v>
      </c>
      <c r="H492" s="1">
        <v>0.05</v>
      </c>
      <c r="I492" s="1">
        <v>14</v>
      </c>
      <c r="J492" t="s">
        <v>13</v>
      </c>
    </row>
    <row r="493" spans="1:10" x14ac:dyDescent="0.35">
      <c r="A493" t="s">
        <v>523</v>
      </c>
      <c r="B493" s="2">
        <v>43296</v>
      </c>
      <c r="C493" t="s">
        <v>34</v>
      </c>
      <c r="D493" t="s">
        <v>31</v>
      </c>
      <c r="E493" s="1">
        <v>4</v>
      </c>
      <c r="F493" s="1">
        <v>150</v>
      </c>
      <c r="G493" s="1">
        <v>600</v>
      </c>
      <c r="H493" s="1">
        <v>0.05</v>
      </c>
      <c r="I493" s="1">
        <v>30</v>
      </c>
      <c r="J493" t="s">
        <v>17</v>
      </c>
    </row>
    <row r="494" spans="1:10" x14ac:dyDescent="0.35">
      <c r="A494" t="s">
        <v>524</v>
      </c>
      <c r="B494" s="2">
        <v>43296</v>
      </c>
      <c r="C494" t="s">
        <v>19</v>
      </c>
      <c r="D494" t="s">
        <v>12</v>
      </c>
      <c r="E494" s="1">
        <v>15</v>
      </c>
      <c r="F494" s="1">
        <v>230</v>
      </c>
      <c r="G494" s="1">
        <v>3450</v>
      </c>
      <c r="H494" s="1">
        <v>0.05</v>
      </c>
      <c r="I494" s="1">
        <v>172</v>
      </c>
      <c r="J494" t="s">
        <v>20</v>
      </c>
    </row>
    <row r="495" spans="1:10" x14ac:dyDescent="0.35">
      <c r="A495" t="s">
        <v>525</v>
      </c>
      <c r="B495" s="2">
        <v>43297</v>
      </c>
      <c r="C495" t="s">
        <v>15</v>
      </c>
      <c r="D495" t="s">
        <v>16</v>
      </c>
      <c r="E495" s="1">
        <v>12</v>
      </c>
      <c r="F495" s="1">
        <v>40</v>
      </c>
      <c r="G495" s="1">
        <v>480</v>
      </c>
      <c r="H495" s="1">
        <v>0.1</v>
      </c>
      <c r="I495" s="1">
        <v>48</v>
      </c>
      <c r="J495" t="s">
        <v>22</v>
      </c>
    </row>
    <row r="496" spans="1:10" x14ac:dyDescent="0.35">
      <c r="A496" t="s">
        <v>526</v>
      </c>
      <c r="B496" s="2">
        <v>43297</v>
      </c>
      <c r="C496" t="s">
        <v>19</v>
      </c>
      <c r="D496" t="s">
        <v>27</v>
      </c>
      <c r="E496" s="1">
        <v>23</v>
      </c>
      <c r="F496" s="1">
        <v>230</v>
      </c>
      <c r="G496" s="1">
        <v>5290</v>
      </c>
      <c r="H496" s="1">
        <v>0.06</v>
      </c>
      <c r="I496" s="1">
        <v>317</v>
      </c>
      <c r="J496" t="s">
        <v>25</v>
      </c>
    </row>
    <row r="497" spans="1:10" x14ac:dyDescent="0.35">
      <c r="A497" t="s">
        <v>527</v>
      </c>
      <c r="B497" s="2">
        <v>43297</v>
      </c>
      <c r="C497" t="s">
        <v>30</v>
      </c>
      <c r="D497" t="s">
        <v>12</v>
      </c>
      <c r="E497" s="1">
        <v>11</v>
      </c>
      <c r="F497" s="1">
        <v>16</v>
      </c>
      <c r="G497" s="1">
        <v>176</v>
      </c>
      <c r="H497" s="1">
        <v>0.09</v>
      </c>
      <c r="I497" s="1">
        <v>16</v>
      </c>
      <c r="J497" t="s">
        <v>28</v>
      </c>
    </row>
    <row r="498" spans="1:10" x14ac:dyDescent="0.35">
      <c r="A498" t="s">
        <v>528</v>
      </c>
      <c r="B498" s="2">
        <v>43297</v>
      </c>
      <c r="C498" t="s">
        <v>34</v>
      </c>
      <c r="D498" t="s">
        <v>12</v>
      </c>
      <c r="E498" s="1">
        <v>9</v>
      </c>
      <c r="F498" s="1">
        <v>150</v>
      </c>
      <c r="G498" s="1">
        <v>1350</v>
      </c>
      <c r="H498" s="1">
        <v>0.1</v>
      </c>
      <c r="I498" s="1">
        <v>135</v>
      </c>
      <c r="J498" t="s">
        <v>32</v>
      </c>
    </row>
    <row r="499" spans="1:10" x14ac:dyDescent="0.35">
      <c r="A499" t="s">
        <v>529</v>
      </c>
      <c r="B499" s="2">
        <v>43297</v>
      </c>
      <c r="C499" t="s">
        <v>11</v>
      </c>
      <c r="D499" t="s">
        <v>12</v>
      </c>
      <c r="E499" s="1">
        <v>18</v>
      </c>
      <c r="F499" s="1">
        <v>80</v>
      </c>
      <c r="G499" s="1">
        <v>1440</v>
      </c>
      <c r="H499" s="1">
        <v>0.02</v>
      </c>
      <c r="I499" s="1">
        <v>29</v>
      </c>
      <c r="J499" t="s">
        <v>35</v>
      </c>
    </row>
    <row r="500" spans="1:10" x14ac:dyDescent="0.35">
      <c r="A500" t="s">
        <v>530</v>
      </c>
      <c r="B500" s="2">
        <v>43297</v>
      </c>
      <c r="C500" t="s">
        <v>15</v>
      </c>
      <c r="D500" t="s">
        <v>31</v>
      </c>
      <c r="E500" s="1">
        <v>23</v>
      </c>
      <c r="F500" s="1">
        <v>40</v>
      </c>
      <c r="G500" s="1">
        <v>920</v>
      </c>
      <c r="H500" s="1">
        <v>0.04</v>
      </c>
      <c r="I500" s="1">
        <v>37</v>
      </c>
      <c r="J500" t="s">
        <v>37</v>
      </c>
    </row>
    <row r="501" spans="1:10" x14ac:dyDescent="0.35">
      <c r="A501" t="s">
        <v>531</v>
      </c>
      <c r="B501" s="2">
        <v>43297</v>
      </c>
      <c r="C501" t="s">
        <v>30</v>
      </c>
      <c r="D501" t="s">
        <v>31</v>
      </c>
      <c r="E501" s="1">
        <v>17</v>
      </c>
      <c r="F501" s="1">
        <v>16</v>
      </c>
      <c r="G501" s="1">
        <v>272</v>
      </c>
      <c r="H501" s="1">
        <v>0.1</v>
      </c>
      <c r="I501" s="1">
        <v>27</v>
      </c>
      <c r="J501" t="s">
        <v>39</v>
      </c>
    </row>
    <row r="502" spans="1:10" x14ac:dyDescent="0.35">
      <c r="A502" t="s">
        <v>532</v>
      </c>
      <c r="B502" s="2">
        <v>43297</v>
      </c>
      <c r="C502" t="s">
        <v>34</v>
      </c>
      <c r="D502" t="s">
        <v>31</v>
      </c>
      <c r="E502" s="1">
        <v>17</v>
      </c>
      <c r="F502" s="1">
        <v>150</v>
      </c>
      <c r="G502" s="1">
        <v>2550</v>
      </c>
      <c r="H502" s="1">
        <v>0.02</v>
      </c>
      <c r="I502" s="1">
        <v>51</v>
      </c>
      <c r="J502" t="s">
        <v>41</v>
      </c>
    </row>
    <row r="503" spans="1:10" x14ac:dyDescent="0.35">
      <c r="A503" t="s">
        <v>533</v>
      </c>
      <c r="B503" s="2">
        <v>43297</v>
      </c>
      <c r="C503" t="s">
        <v>11</v>
      </c>
      <c r="D503" t="s">
        <v>27</v>
      </c>
      <c r="E503" s="1">
        <v>21</v>
      </c>
      <c r="F503" s="1">
        <v>80</v>
      </c>
      <c r="G503" s="1">
        <v>1680</v>
      </c>
      <c r="H503" s="1">
        <v>0.02</v>
      </c>
      <c r="I503" s="1">
        <v>34</v>
      </c>
      <c r="J503" t="s">
        <v>43</v>
      </c>
    </row>
    <row r="504" spans="1:10" x14ac:dyDescent="0.35">
      <c r="A504" t="s">
        <v>534</v>
      </c>
      <c r="B504" s="2">
        <v>43297</v>
      </c>
      <c r="C504" t="s">
        <v>15</v>
      </c>
      <c r="D504" t="s">
        <v>27</v>
      </c>
      <c r="E504" s="1">
        <v>11</v>
      </c>
      <c r="F504" s="1">
        <v>40</v>
      </c>
      <c r="G504" s="1">
        <v>440</v>
      </c>
      <c r="H504" s="1">
        <v>0.06</v>
      </c>
      <c r="I504" s="1">
        <v>26</v>
      </c>
      <c r="J504" t="s">
        <v>13</v>
      </c>
    </row>
    <row r="505" spans="1:10" x14ac:dyDescent="0.35">
      <c r="A505" t="s">
        <v>535</v>
      </c>
      <c r="B505" s="2">
        <v>43297</v>
      </c>
      <c r="C505" t="s">
        <v>15</v>
      </c>
      <c r="D505" t="s">
        <v>12</v>
      </c>
      <c r="E505" s="1">
        <v>19</v>
      </c>
      <c r="F505" s="1">
        <v>40</v>
      </c>
      <c r="G505" s="1">
        <v>760</v>
      </c>
      <c r="H505" s="1">
        <v>0.04</v>
      </c>
      <c r="I505" s="1">
        <v>30</v>
      </c>
      <c r="J505" t="s">
        <v>17</v>
      </c>
    </row>
    <row r="506" spans="1:10" x14ac:dyDescent="0.35">
      <c r="A506" t="s">
        <v>536</v>
      </c>
      <c r="B506" s="2">
        <v>43297</v>
      </c>
      <c r="C506" t="s">
        <v>15</v>
      </c>
      <c r="D506" t="s">
        <v>12</v>
      </c>
      <c r="E506" s="1">
        <v>23</v>
      </c>
      <c r="F506" s="1">
        <v>40</v>
      </c>
      <c r="G506" s="1">
        <v>920</v>
      </c>
      <c r="H506" s="1">
        <v>0.03</v>
      </c>
      <c r="I506" s="1">
        <v>28</v>
      </c>
      <c r="J506" t="s">
        <v>20</v>
      </c>
    </row>
    <row r="507" spans="1:10" x14ac:dyDescent="0.35">
      <c r="A507" t="s">
        <v>537</v>
      </c>
      <c r="B507" s="2">
        <v>43297</v>
      </c>
      <c r="C507" t="s">
        <v>19</v>
      </c>
      <c r="D507" t="s">
        <v>16</v>
      </c>
      <c r="E507" s="1">
        <v>14</v>
      </c>
      <c r="F507" s="1">
        <v>230</v>
      </c>
      <c r="G507" s="1">
        <v>3220</v>
      </c>
      <c r="H507" s="1">
        <v>0.05</v>
      </c>
      <c r="I507" s="1">
        <v>161</v>
      </c>
      <c r="J507" t="s">
        <v>22</v>
      </c>
    </row>
    <row r="508" spans="1:10" x14ac:dyDescent="0.35">
      <c r="A508" t="s">
        <v>538</v>
      </c>
      <c r="B508" s="2">
        <v>43297</v>
      </c>
      <c r="C508" t="s">
        <v>15</v>
      </c>
      <c r="D508" t="s">
        <v>24</v>
      </c>
      <c r="E508" s="1">
        <v>18</v>
      </c>
      <c r="F508" s="1">
        <v>40</v>
      </c>
      <c r="G508" s="1">
        <v>720</v>
      </c>
      <c r="H508" s="1">
        <v>0.03</v>
      </c>
      <c r="I508" s="1">
        <v>22</v>
      </c>
      <c r="J508" t="s">
        <v>25</v>
      </c>
    </row>
    <row r="509" spans="1:10" x14ac:dyDescent="0.35">
      <c r="A509" t="s">
        <v>539</v>
      </c>
      <c r="B509" s="2">
        <v>43297</v>
      </c>
      <c r="C509" t="s">
        <v>34</v>
      </c>
      <c r="D509" t="s">
        <v>16</v>
      </c>
      <c r="E509" s="1">
        <v>2</v>
      </c>
      <c r="F509" s="1">
        <v>150</v>
      </c>
      <c r="G509" s="1">
        <v>300</v>
      </c>
      <c r="H509" s="1">
        <v>0.09</v>
      </c>
      <c r="I509" s="1">
        <v>27</v>
      </c>
      <c r="J509" t="s">
        <v>28</v>
      </c>
    </row>
    <row r="510" spans="1:10" x14ac:dyDescent="0.35">
      <c r="A510" t="s">
        <v>540</v>
      </c>
      <c r="B510" s="2">
        <v>43297</v>
      </c>
      <c r="C510" t="s">
        <v>19</v>
      </c>
      <c r="D510" t="s">
        <v>16</v>
      </c>
      <c r="E510" s="1">
        <v>7</v>
      </c>
      <c r="F510" s="1">
        <v>230</v>
      </c>
      <c r="G510" s="1">
        <v>1610</v>
      </c>
      <c r="H510" s="1">
        <v>0.05</v>
      </c>
      <c r="I510" s="1">
        <v>80</v>
      </c>
      <c r="J510" t="s">
        <v>32</v>
      </c>
    </row>
    <row r="511" spans="1:10" x14ac:dyDescent="0.35">
      <c r="A511" t="s">
        <v>541</v>
      </c>
      <c r="B511" s="2">
        <v>43298</v>
      </c>
      <c r="C511" t="s">
        <v>34</v>
      </c>
      <c r="D511" t="s">
        <v>24</v>
      </c>
      <c r="E511" s="1">
        <v>9</v>
      </c>
      <c r="F511" s="1">
        <v>150</v>
      </c>
      <c r="G511" s="1">
        <v>1350</v>
      </c>
      <c r="H511" s="1">
        <v>0.02</v>
      </c>
      <c r="I511" s="1">
        <v>27</v>
      </c>
      <c r="J511" t="s">
        <v>35</v>
      </c>
    </row>
    <row r="512" spans="1:10" x14ac:dyDescent="0.35">
      <c r="A512" t="s">
        <v>542</v>
      </c>
      <c r="B512" s="2">
        <v>43298</v>
      </c>
      <c r="C512" t="s">
        <v>15</v>
      </c>
      <c r="D512" t="s">
        <v>31</v>
      </c>
      <c r="E512" s="1">
        <v>3</v>
      </c>
      <c r="F512" s="1">
        <v>40</v>
      </c>
      <c r="G512" s="1">
        <v>120</v>
      </c>
      <c r="H512" s="1">
        <v>0.03</v>
      </c>
      <c r="I512" s="1">
        <v>4</v>
      </c>
      <c r="J512" t="s">
        <v>37</v>
      </c>
    </row>
    <row r="513" spans="1:10" x14ac:dyDescent="0.35">
      <c r="A513" t="s">
        <v>543</v>
      </c>
      <c r="B513" s="2">
        <v>43298</v>
      </c>
      <c r="C513" t="s">
        <v>11</v>
      </c>
      <c r="D513" t="s">
        <v>27</v>
      </c>
      <c r="E513" s="1">
        <v>2</v>
      </c>
      <c r="F513" s="1">
        <v>80</v>
      </c>
      <c r="G513" s="1">
        <v>160</v>
      </c>
      <c r="H513" s="1">
        <v>0.08</v>
      </c>
      <c r="I513" s="1">
        <v>13</v>
      </c>
      <c r="J513" t="s">
        <v>39</v>
      </c>
    </row>
    <row r="514" spans="1:10" x14ac:dyDescent="0.35">
      <c r="A514" t="s">
        <v>544</v>
      </c>
      <c r="B514" s="2">
        <v>43298</v>
      </c>
      <c r="C514" t="s">
        <v>30</v>
      </c>
      <c r="D514" t="s">
        <v>31</v>
      </c>
      <c r="E514" s="1">
        <v>19</v>
      </c>
      <c r="F514" s="1">
        <v>16</v>
      </c>
      <c r="G514" s="1">
        <v>304</v>
      </c>
      <c r="H514" s="1">
        <v>0.02</v>
      </c>
      <c r="I514" s="1">
        <v>6</v>
      </c>
      <c r="J514" t="s">
        <v>41</v>
      </c>
    </row>
    <row r="515" spans="1:10" x14ac:dyDescent="0.35">
      <c r="A515" t="s">
        <v>545</v>
      </c>
      <c r="B515" s="2">
        <v>43298</v>
      </c>
      <c r="C515" t="s">
        <v>30</v>
      </c>
      <c r="D515" t="s">
        <v>16</v>
      </c>
      <c r="E515" s="1">
        <v>21</v>
      </c>
      <c r="F515" s="1">
        <v>16</v>
      </c>
      <c r="G515" s="1">
        <v>336</v>
      </c>
      <c r="H515" s="1">
        <v>0.02</v>
      </c>
      <c r="I515" s="1">
        <v>7</v>
      </c>
      <c r="J515" t="s">
        <v>43</v>
      </c>
    </row>
    <row r="516" spans="1:10" x14ac:dyDescent="0.35">
      <c r="A516" t="s">
        <v>546</v>
      </c>
      <c r="B516" s="2">
        <v>43298</v>
      </c>
      <c r="C516" t="s">
        <v>11</v>
      </c>
      <c r="D516" t="s">
        <v>27</v>
      </c>
      <c r="E516" s="1">
        <v>21</v>
      </c>
      <c r="F516" s="1">
        <v>80</v>
      </c>
      <c r="G516" s="1">
        <v>1680</v>
      </c>
      <c r="H516" s="1">
        <v>0.05</v>
      </c>
      <c r="I516" s="1">
        <v>84</v>
      </c>
      <c r="J516" t="s">
        <v>13</v>
      </c>
    </row>
    <row r="517" spans="1:10" x14ac:dyDescent="0.35">
      <c r="A517" t="s">
        <v>547</v>
      </c>
      <c r="B517" s="2">
        <v>43298</v>
      </c>
      <c r="C517" t="s">
        <v>19</v>
      </c>
      <c r="D517" t="s">
        <v>31</v>
      </c>
      <c r="E517" s="1">
        <v>3</v>
      </c>
      <c r="F517" s="1">
        <v>230</v>
      </c>
      <c r="G517" s="1">
        <v>690</v>
      </c>
      <c r="H517" s="1">
        <v>0.1</v>
      </c>
      <c r="I517" s="1">
        <v>69</v>
      </c>
      <c r="J517" t="s">
        <v>17</v>
      </c>
    </row>
    <row r="518" spans="1:10" x14ac:dyDescent="0.35">
      <c r="A518" t="s">
        <v>548</v>
      </c>
      <c r="B518" s="2">
        <v>43298</v>
      </c>
      <c r="C518" t="s">
        <v>15</v>
      </c>
      <c r="D518" t="s">
        <v>24</v>
      </c>
      <c r="E518" s="1">
        <v>4</v>
      </c>
      <c r="F518" s="1">
        <v>40</v>
      </c>
      <c r="G518" s="1">
        <v>160</v>
      </c>
      <c r="H518" s="1">
        <v>0.11</v>
      </c>
      <c r="I518" s="1">
        <v>18</v>
      </c>
      <c r="J518" t="s">
        <v>20</v>
      </c>
    </row>
    <row r="519" spans="1:10" x14ac:dyDescent="0.35">
      <c r="A519" t="s">
        <v>549</v>
      </c>
      <c r="B519" s="2">
        <v>43298</v>
      </c>
      <c r="C519" t="s">
        <v>34</v>
      </c>
      <c r="D519" t="s">
        <v>31</v>
      </c>
      <c r="E519" s="1">
        <v>7</v>
      </c>
      <c r="F519" s="1">
        <v>150</v>
      </c>
      <c r="G519" s="1">
        <v>1050</v>
      </c>
      <c r="H519" s="1">
        <v>0.03</v>
      </c>
      <c r="I519" s="1">
        <v>32</v>
      </c>
      <c r="J519" t="s">
        <v>22</v>
      </c>
    </row>
    <row r="520" spans="1:10" x14ac:dyDescent="0.35">
      <c r="A520" t="s">
        <v>550</v>
      </c>
      <c r="B520" s="2">
        <v>43298</v>
      </c>
      <c r="C520" t="s">
        <v>30</v>
      </c>
      <c r="D520" t="s">
        <v>24</v>
      </c>
      <c r="E520" s="1">
        <v>11</v>
      </c>
      <c r="F520" s="1">
        <v>16</v>
      </c>
      <c r="G520" s="1">
        <v>176</v>
      </c>
      <c r="H520" s="1">
        <v>0.12</v>
      </c>
      <c r="I520" s="1">
        <v>21</v>
      </c>
      <c r="J520" t="s">
        <v>25</v>
      </c>
    </row>
    <row r="521" spans="1:10" x14ac:dyDescent="0.35">
      <c r="A521" t="s">
        <v>551</v>
      </c>
      <c r="B521" s="2">
        <v>43298</v>
      </c>
      <c r="C521" t="s">
        <v>11</v>
      </c>
      <c r="D521" t="s">
        <v>12</v>
      </c>
      <c r="E521" s="1">
        <v>17</v>
      </c>
      <c r="F521" s="1">
        <v>80</v>
      </c>
      <c r="G521" s="1">
        <v>1360</v>
      </c>
      <c r="H521" s="1">
        <v>7.0000000000000007E-2</v>
      </c>
      <c r="I521" s="1">
        <v>95</v>
      </c>
      <c r="J521" t="s">
        <v>28</v>
      </c>
    </row>
    <row r="522" spans="1:10" x14ac:dyDescent="0.35">
      <c r="A522" t="s">
        <v>552</v>
      </c>
      <c r="B522" s="2">
        <v>43298</v>
      </c>
      <c r="C522" t="s">
        <v>30</v>
      </c>
      <c r="D522" t="s">
        <v>27</v>
      </c>
      <c r="E522" s="1">
        <v>5</v>
      </c>
      <c r="F522" s="1">
        <v>16</v>
      </c>
      <c r="G522" s="1">
        <v>80</v>
      </c>
      <c r="H522" s="1">
        <v>0.09</v>
      </c>
      <c r="I522" s="1">
        <v>7</v>
      </c>
      <c r="J522" t="s">
        <v>32</v>
      </c>
    </row>
    <row r="523" spans="1:10" x14ac:dyDescent="0.35">
      <c r="A523" t="s">
        <v>553</v>
      </c>
      <c r="B523" s="2">
        <v>43298</v>
      </c>
      <c r="C523" t="s">
        <v>30</v>
      </c>
      <c r="D523" t="s">
        <v>31</v>
      </c>
      <c r="E523" s="1">
        <v>13</v>
      </c>
      <c r="F523" s="1">
        <v>16</v>
      </c>
      <c r="G523" s="1">
        <v>208</v>
      </c>
      <c r="H523" s="1">
        <v>7.0000000000000007E-2</v>
      </c>
      <c r="I523" s="1">
        <v>15</v>
      </c>
      <c r="J523" t="s">
        <v>35</v>
      </c>
    </row>
    <row r="524" spans="1:10" x14ac:dyDescent="0.35">
      <c r="A524" t="s">
        <v>554</v>
      </c>
      <c r="B524" s="2">
        <v>43298</v>
      </c>
      <c r="C524" t="s">
        <v>11</v>
      </c>
      <c r="D524" t="s">
        <v>31</v>
      </c>
      <c r="E524" s="1">
        <v>9</v>
      </c>
      <c r="F524" s="1">
        <v>80</v>
      </c>
      <c r="G524" s="1">
        <v>720</v>
      </c>
      <c r="H524" s="1">
        <v>0.02</v>
      </c>
      <c r="I524" s="1">
        <v>14</v>
      </c>
      <c r="J524" t="s">
        <v>37</v>
      </c>
    </row>
    <row r="525" spans="1:10" x14ac:dyDescent="0.35">
      <c r="A525" t="s">
        <v>555</v>
      </c>
      <c r="B525" s="2">
        <v>43299</v>
      </c>
      <c r="C525" t="s">
        <v>11</v>
      </c>
      <c r="D525" t="s">
        <v>31</v>
      </c>
      <c r="E525" s="1">
        <v>9</v>
      </c>
      <c r="F525" s="1">
        <v>80</v>
      </c>
      <c r="G525" s="1">
        <v>720</v>
      </c>
      <c r="H525" s="1">
        <v>0.02</v>
      </c>
      <c r="I525" s="1">
        <v>14</v>
      </c>
      <c r="J525" t="s">
        <v>39</v>
      </c>
    </row>
    <row r="526" spans="1:10" x14ac:dyDescent="0.35">
      <c r="A526" t="s">
        <v>556</v>
      </c>
      <c r="B526" s="2">
        <v>43299</v>
      </c>
      <c r="C526" t="s">
        <v>11</v>
      </c>
      <c r="D526" t="s">
        <v>27</v>
      </c>
      <c r="E526" s="1">
        <v>22</v>
      </c>
      <c r="F526" s="1">
        <v>80</v>
      </c>
      <c r="G526" s="1">
        <v>1760</v>
      </c>
      <c r="H526" s="1">
        <v>0.03</v>
      </c>
      <c r="I526" s="1">
        <v>53</v>
      </c>
      <c r="J526" t="s">
        <v>41</v>
      </c>
    </row>
    <row r="527" spans="1:10" x14ac:dyDescent="0.35">
      <c r="A527" t="s">
        <v>557</v>
      </c>
      <c r="B527" s="2">
        <v>43299</v>
      </c>
      <c r="C527" t="s">
        <v>34</v>
      </c>
      <c r="D527" t="s">
        <v>12</v>
      </c>
      <c r="E527" s="1">
        <v>13</v>
      </c>
      <c r="F527" s="1">
        <v>150</v>
      </c>
      <c r="G527" s="1">
        <v>1950</v>
      </c>
      <c r="H527" s="1">
        <v>0.05</v>
      </c>
      <c r="I527" s="1">
        <v>98</v>
      </c>
      <c r="J527" t="s">
        <v>43</v>
      </c>
    </row>
    <row r="528" spans="1:10" x14ac:dyDescent="0.35">
      <c r="A528" t="s">
        <v>558</v>
      </c>
      <c r="B528" s="2">
        <v>43299</v>
      </c>
      <c r="C528" t="s">
        <v>11</v>
      </c>
      <c r="D528" t="s">
        <v>12</v>
      </c>
      <c r="E528" s="1">
        <v>14</v>
      </c>
      <c r="F528" s="1">
        <v>80</v>
      </c>
      <c r="G528" s="1">
        <v>1120</v>
      </c>
      <c r="H528" s="1">
        <v>0.08</v>
      </c>
      <c r="I528" s="1">
        <v>90</v>
      </c>
      <c r="J528" t="s">
        <v>13</v>
      </c>
    </row>
    <row r="529" spans="1:10" x14ac:dyDescent="0.35">
      <c r="A529" t="s">
        <v>559</v>
      </c>
      <c r="B529" s="2">
        <v>43299</v>
      </c>
      <c r="C529" t="s">
        <v>11</v>
      </c>
      <c r="D529" t="s">
        <v>12</v>
      </c>
      <c r="E529" s="1">
        <v>6</v>
      </c>
      <c r="F529" s="1">
        <v>80</v>
      </c>
      <c r="G529" s="1">
        <v>480</v>
      </c>
      <c r="H529" s="1">
        <v>7.0000000000000007E-2</v>
      </c>
      <c r="I529" s="1">
        <v>34</v>
      </c>
      <c r="J529" t="s">
        <v>17</v>
      </c>
    </row>
    <row r="530" spans="1:10" x14ac:dyDescent="0.35">
      <c r="A530" t="s">
        <v>560</v>
      </c>
      <c r="B530" s="2">
        <v>43299</v>
      </c>
      <c r="C530" t="s">
        <v>11</v>
      </c>
      <c r="D530" t="s">
        <v>12</v>
      </c>
      <c r="E530" s="1">
        <v>16</v>
      </c>
      <c r="F530" s="1">
        <v>80</v>
      </c>
      <c r="G530" s="1">
        <v>1280</v>
      </c>
      <c r="H530" s="1">
        <v>0.03</v>
      </c>
      <c r="I530" s="1">
        <v>38</v>
      </c>
      <c r="J530" t="s">
        <v>20</v>
      </c>
    </row>
    <row r="531" spans="1:10" x14ac:dyDescent="0.35">
      <c r="A531" t="s">
        <v>561</v>
      </c>
      <c r="B531" s="2">
        <v>43299</v>
      </c>
      <c r="C531" t="s">
        <v>34</v>
      </c>
      <c r="D531" t="s">
        <v>24</v>
      </c>
      <c r="E531" s="1">
        <v>22</v>
      </c>
      <c r="F531" s="1">
        <v>150</v>
      </c>
      <c r="G531" s="1">
        <v>3300</v>
      </c>
      <c r="H531" s="1">
        <v>0.09</v>
      </c>
      <c r="I531" s="1">
        <v>297</v>
      </c>
      <c r="J531" t="s">
        <v>22</v>
      </c>
    </row>
    <row r="532" spans="1:10" x14ac:dyDescent="0.35">
      <c r="A532" t="s">
        <v>562</v>
      </c>
      <c r="B532" s="2">
        <v>43299</v>
      </c>
      <c r="C532" t="s">
        <v>34</v>
      </c>
      <c r="D532" t="s">
        <v>27</v>
      </c>
      <c r="E532" s="1">
        <v>4</v>
      </c>
      <c r="F532" s="1">
        <v>150</v>
      </c>
      <c r="G532" s="1">
        <v>600</v>
      </c>
      <c r="H532" s="1">
        <v>0.12</v>
      </c>
      <c r="I532" s="1">
        <v>72</v>
      </c>
      <c r="J532" t="s">
        <v>25</v>
      </c>
    </row>
    <row r="533" spans="1:10" x14ac:dyDescent="0.35">
      <c r="A533" t="s">
        <v>563</v>
      </c>
      <c r="B533" s="2">
        <v>43299</v>
      </c>
      <c r="C533" t="s">
        <v>19</v>
      </c>
      <c r="D533" t="s">
        <v>31</v>
      </c>
      <c r="E533" s="1">
        <v>7</v>
      </c>
      <c r="F533" s="1">
        <v>230</v>
      </c>
      <c r="G533" s="1">
        <v>1610</v>
      </c>
      <c r="H533" s="1">
        <v>0.05</v>
      </c>
      <c r="I533" s="1">
        <v>80</v>
      </c>
      <c r="J533" t="s">
        <v>28</v>
      </c>
    </row>
    <row r="534" spans="1:10" x14ac:dyDescent="0.35">
      <c r="A534" t="s">
        <v>564</v>
      </c>
      <c r="B534" s="2">
        <v>43299</v>
      </c>
      <c r="C534" t="s">
        <v>34</v>
      </c>
      <c r="D534" t="s">
        <v>27</v>
      </c>
      <c r="E534" s="1">
        <v>20</v>
      </c>
      <c r="F534" s="1">
        <v>150</v>
      </c>
      <c r="G534" s="1">
        <v>3000</v>
      </c>
      <c r="H534" s="1">
        <v>0.1</v>
      </c>
      <c r="I534" s="1">
        <v>300</v>
      </c>
      <c r="J534" t="s">
        <v>32</v>
      </c>
    </row>
    <row r="535" spans="1:10" x14ac:dyDescent="0.35">
      <c r="A535" t="s">
        <v>565</v>
      </c>
      <c r="B535" s="2">
        <v>43299</v>
      </c>
      <c r="C535" t="s">
        <v>19</v>
      </c>
      <c r="D535" t="s">
        <v>27</v>
      </c>
      <c r="E535" s="1">
        <v>8</v>
      </c>
      <c r="F535" s="1">
        <v>230</v>
      </c>
      <c r="G535" s="1">
        <v>1840</v>
      </c>
      <c r="H535" s="1">
        <v>0.05</v>
      </c>
      <c r="I535" s="1">
        <v>92</v>
      </c>
      <c r="J535" t="s">
        <v>35</v>
      </c>
    </row>
    <row r="536" spans="1:10" x14ac:dyDescent="0.35">
      <c r="A536" t="s">
        <v>566</v>
      </c>
      <c r="B536" s="2">
        <v>43300</v>
      </c>
      <c r="C536" t="s">
        <v>15</v>
      </c>
      <c r="D536" t="s">
        <v>27</v>
      </c>
      <c r="E536" s="1">
        <v>9</v>
      </c>
      <c r="F536" s="1">
        <v>40</v>
      </c>
      <c r="G536" s="1">
        <v>360</v>
      </c>
      <c r="H536" s="1">
        <v>0.06</v>
      </c>
      <c r="I536" s="1">
        <v>22</v>
      </c>
      <c r="J536" t="s">
        <v>37</v>
      </c>
    </row>
    <row r="537" spans="1:10" x14ac:dyDescent="0.35">
      <c r="A537" t="s">
        <v>567</v>
      </c>
      <c r="B537" s="2">
        <v>43300</v>
      </c>
      <c r="C537" t="s">
        <v>19</v>
      </c>
      <c r="D537" t="s">
        <v>27</v>
      </c>
      <c r="E537" s="1">
        <v>19</v>
      </c>
      <c r="F537" s="1">
        <v>230</v>
      </c>
      <c r="G537" s="1">
        <v>4370</v>
      </c>
      <c r="H537" s="1">
        <v>0.06</v>
      </c>
      <c r="I537" s="1">
        <v>262</v>
      </c>
      <c r="J537" t="s">
        <v>39</v>
      </c>
    </row>
    <row r="538" spans="1:10" x14ac:dyDescent="0.35">
      <c r="A538" t="s">
        <v>568</v>
      </c>
      <c r="B538" s="2">
        <v>43300</v>
      </c>
      <c r="C538" t="s">
        <v>15</v>
      </c>
      <c r="D538" t="s">
        <v>27</v>
      </c>
      <c r="E538" s="1">
        <v>22</v>
      </c>
      <c r="F538" s="1">
        <v>40</v>
      </c>
      <c r="G538" s="1">
        <v>880</v>
      </c>
      <c r="H538" s="1">
        <v>0.01</v>
      </c>
      <c r="I538" s="1">
        <v>9</v>
      </c>
      <c r="J538" t="s">
        <v>41</v>
      </c>
    </row>
    <row r="539" spans="1:10" x14ac:dyDescent="0.35">
      <c r="A539" t="s">
        <v>569</v>
      </c>
      <c r="B539" s="2">
        <v>43300</v>
      </c>
      <c r="C539" t="s">
        <v>15</v>
      </c>
      <c r="D539" t="s">
        <v>12</v>
      </c>
      <c r="E539" s="1">
        <v>22</v>
      </c>
      <c r="F539" s="1">
        <v>40</v>
      </c>
      <c r="G539" s="1">
        <v>880</v>
      </c>
      <c r="H539" s="1">
        <v>0.02</v>
      </c>
      <c r="I539" s="1">
        <v>18</v>
      </c>
      <c r="J539" t="s">
        <v>43</v>
      </c>
    </row>
    <row r="540" spans="1:10" x14ac:dyDescent="0.35">
      <c r="A540" t="s">
        <v>570</v>
      </c>
      <c r="B540" s="2">
        <v>43300</v>
      </c>
      <c r="C540" t="s">
        <v>11</v>
      </c>
      <c r="D540" t="s">
        <v>31</v>
      </c>
      <c r="E540" s="1">
        <v>10</v>
      </c>
      <c r="F540" s="1">
        <v>80</v>
      </c>
      <c r="G540" s="1">
        <v>800</v>
      </c>
      <c r="H540" s="1">
        <v>0.06</v>
      </c>
      <c r="I540" s="1">
        <v>48</v>
      </c>
      <c r="J540" t="s">
        <v>13</v>
      </c>
    </row>
    <row r="541" spans="1:10" x14ac:dyDescent="0.35">
      <c r="A541" t="s">
        <v>571</v>
      </c>
      <c r="B541" s="2">
        <v>43300</v>
      </c>
      <c r="C541" t="s">
        <v>15</v>
      </c>
      <c r="D541" t="s">
        <v>27</v>
      </c>
      <c r="E541" s="1">
        <v>7</v>
      </c>
      <c r="F541" s="1">
        <v>40</v>
      </c>
      <c r="G541" s="1">
        <v>280</v>
      </c>
      <c r="H541" s="1">
        <v>0.11</v>
      </c>
      <c r="I541" s="1">
        <v>31</v>
      </c>
      <c r="J541" t="s">
        <v>17</v>
      </c>
    </row>
    <row r="542" spans="1:10" x14ac:dyDescent="0.35">
      <c r="A542" t="s">
        <v>572</v>
      </c>
      <c r="B542" s="2">
        <v>43300</v>
      </c>
      <c r="C542" t="s">
        <v>19</v>
      </c>
      <c r="D542" t="s">
        <v>12</v>
      </c>
      <c r="E542" s="1">
        <v>7</v>
      </c>
      <c r="F542" s="1">
        <v>230</v>
      </c>
      <c r="G542" s="1">
        <v>1610</v>
      </c>
      <c r="H542" s="1">
        <v>0.08</v>
      </c>
      <c r="I542" s="1">
        <v>129</v>
      </c>
      <c r="J542" t="s">
        <v>20</v>
      </c>
    </row>
    <row r="543" spans="1:10" x14ac:dyDescent="0.35">
      <c r="A543" t="s">
        <v>573</v>
      </c>
      <c r="B543" s="2">
        <v>43300</v>
      </c>
      <c r="C543" t="s">
        <v>30</v>
      </c>
      <c r="D543" t="s">
        <v>12</v>
      </c>
      <c r="E543" s="1">
        <v>18</v>
      </c>
      <c r="F543" s="1">
        <v>16</v>
      </c>
      <c r="G543" s="1">
        <v>288</v>
      </c>
      <c r="H543" s="1">
        <v>0.11</v>
      </c>
      <c r="I543" s="1">
        <v>32</v>
      </c>
      <c r="J543" t="s">
        <v>22</v>
      </c>
    </row>
    <row r="544" spans="1:10" x14ac:dyDescent="0.35">
      <c r="A544" t="s">
        <v>574</v>
      </c>
      <c r="B544" s="2">
        <v>43300</v>
      </c>
      <c r="C544" t="s">
        <v>19</v>
      </c>
      <c r="D544" t="s">
        <v>24</v>
      </c>
      <c r="E544" s="1">
        <v>14</v>
      </c>
      <c r="F544" s="1">
        <v>230</v>
      </c>
      <c r="G544" s="1">
        <v>3220</v>
      </c>
      <c r="H544" s="1">
        <v>0.12</v>
      </c>
      <c r="I544" s="1">
        <v>386</v>
      </c>
      <c r="J544" t="s">
        <v>25</v>
      </c>
    </row>
    <row r="545" spans="1:10" x14ac:dyDescent="0.35">
      <c r="A545" t="s">
        <v>575</v>
      </c>
      <c r="B545" s="2">
        <v>43300</v>
      </c>
      <c r="C545" t="s">
        <v>15</v>
      </c>
      <c r="D545" t="s">
        <v>16</v>
      </c>
      <c r="E545" s="1">
        <v>21</v>
      </c>
      <c r="F545" s="1">
        <v>40</v>
      </c>
      <c r="G545" s="1">
        <v>840</v>
      </c>
      <c r="H545" s="1">
        <v>0.03</v>
      </c>
      <c r="I545" s="1">
        <v>25</v>
      </c>
      <c r="J545" t="s">
        <v>28</v>
      </c>
    </row>
    <row r="546" spans="1:10" x14ac:dyDescent="0.35">
      <c r="A546" t="s">
        <v>576</v>
      </c>
      <c r="B546" s="2">
        <v>43300</v>
      </c>
      <c r="C546" t="s">
        <v>34</v>
      </c>
      <c r="D546" t="s">
        <v>12</v>
      </c>
      <c r="E546" s="1">
        <v>3</v>
      </c>
      <c r="F546" s="1">
        <v>150</v>
      </c>
      <c r="G546" s="1">
        <v>450</v>
      </c>
      <c r="H546" s="1">
        <v>0.03</v>
      </c>
      <c r="I546" s="1">
        <v>14</v>
      </c>
      <c r="J546" t="s">
        <v>32</v>
      </c>
    </row>
    <row r="547" spans="1:10" x14ac:dyDescent="0.35">
      <c r="A547" t="s">
        <v>577</v>
      </c>
      <c r="B547" s="2">
        <v>43300</v>
      </c>
      <c r="C547" t="s">
        <v>11</v>
      </c>
      <c r="D547" t="s">
        <v>12</v>
      </c>
      <c r="E547" s="1">
        <v>12</v>
      </c>
      <c r="F547" s="1">
        <v>80</v>
      </c>
      <c r="G547" s="1">
        <v>960</v>
      </c>
      <c r="H547" s="1">
        <v>0.04</v>
      </c>
      <c r="I547" s="1">
        <v>38</v>
      </c>
      <c r="J547" t="s">
        <v>35</v>
      </c>
    </row>
    <row r="548" spans="1:10" x14ac:dyDescent="0.35">
      <c r="A548" t="s">
        <v>578</v>
      </c>
      <c r="B548" s="2">
        <v>43301</v>
      </c>
      <c r="C548" t="s">
        <v>34</v>
      </c>
      <c r="D548" t="s">
        <v>27</v>
      </c>
      <c r="E548" s="1">
        <v>6</v>
      </c>
      <c r="F548" s="1">
        <v>150</v>
      </c>
      <c r="G548" s="1">
        <v>900</v>
      </c>
      <c r="H548" s="1">
        <v>0.03</v>
      </c>
      <c r="I548" s="1">
        <v>27</v>
      </c>
      <c r="J548" t="s">
        <v>37</v>
      </c>
    </row>
    <row r="549" spans="1:10" x14ac:dyDescent="0.35">
      <c r="A549" t="s">
        <v>579</v>
      </c>
      <c r="B549" s="2">
        <v>43301</v>
      </c>
      <c r="C549" t="s">
        <v>15</v>
      </c>
      <c r="D549" t="s">
        <v>24</v>
      </c>
      <c r="E549" s="1">
        <v>20</v>
      </c>
      <c r="F549" s="1">
        <v>40</v>
      </c>
      <c r="G549" s="1">
        <v>800</v>
      </c>
      <c r="H549" s="1">
        <v>0.01</v>
      </c>
      <c r="I549" s="1">
        <v>8</v>
      </c>
      <c r="J549" t="s">
        <v>39</v>
      </c>
    </row>
    <row r="550" spans="1:10" x14ac:dyDescent="0.35">
      <c r="A550" t="s">
        <v>580</v>
      </c>
      <c r="B550" s="2">
        <v>43301</v>
      </c>
      <c r="C550" t="s">
        <v>19</v>
      </c>
      <c r="D550" t="s">
        <v>12</v>
      </c>
      <c r="E550" s="1">
        <v>3</v>
      </c>
      <c r="F550" s="1">
        <v>230</v>
      </c>
      <c r="G550" s="1">
        <v>690</v>
      </c>
      <c r="H550" s="1">
        <v>0.06</v>
      </c>
      <c r="I550" s="1">
        <v>41</v>
      </c>
      <c r="J550" t="s">
        <v>32</v>
      </c>
    </row>
    <row r="551" spans="1:10" x14ac:dyDescent="0.35">
      <c r="A551" t="s">
        <v>581</v>
      </c>
      <c r="B551" s="2">
        <v>43301</v>
      </c>
      <c r="C551" t="s">
        <v>19</v>
      </c>
      <c r="D551" t="s">
        <v>27</v>
      </c>
      <c r="E551" s="1">
        <v>3</v>
      </c>
      <c r="F551" s="1">
        <v>230</v>
      </c>
      <c r="G551" s="1">
        <v>690</v>
      </c>
      <c r="H551" s="1">
        <v>0.01</v>
      </c>
      <c r="I551" s="1">
        <v>7</v>
      </c>
      <c r="J551" t="s">
        <v>35</v>
      </c>
    </row>
    <row r="552" spans="1:10" x14ac:dyDescent="0.35">
      <c r="A552" t="s">
        <v>582</v>
      </c>
      <c r="B552" s="2">
        <v>43301</v>
      </c>
      <c r="C552" t="s">
        <v>15</v>
      </c>
      <c r="D552" t="s">
        <v>12</v>
      </c>
      <c r="E552" s="1">
        <v>20</v>
      </c>
      <c r="F552" s="1">
        <v>40</v>
      </c>
      <c r="G552" s="1">
        <v>800</v>
      </c>
      <c r="H552" s="1">
        <v>0.04</v>
      </c>
      <c r="I552" s="1">
        <v>32</v>
      </c>
      <c r="J552" t="s">
        <v>37</v>
      </c>
    </row>
    <row r="553" spans="1:10" x14ac:dyDescent="0.35">
      <c r="A553" t="s">
        <v>583</v>
      </c>
      <c r="B553" s="2">
        <v>43301</v>
      </c>
      <c r="C553" t="s">
        <v>11</v>
      </c>
      <c r="D553" t="s">
        <v>24</v>
      </c>
      <c r="E553" s="1">
        <v>16</v>
      </c>
      <c r="F553" s="1">
        <v>80</v>
      </c>
      <c r="G553" s="1">
        <v>1280</v>
      </c>
      <c r="H553" s="1">
        <v>0.02</v>
      </c>
      <c r="I553" s="1">
        <v>26</v>
      </c>
      <c r="J553" t="s">
        <v>39</v>
      </c>
    </row>
    <row r="554" spans="1:10" x14ac:dyDescent="0.35">
      <c r="A554" t="s">
        <v>584</v>
      </c>
      <c r="B554" s="2">
        <v>43301</v>
      </c>
      <c r="C554" t="s">
        <v>34</v>
      </c>
      <c r="D554" t="s">
        <v>12</v>
      </c>
      <c r="E554" s="1">
        <v>8</v>
      </c>
      <c r="F554" s="1">
        <v>150</v>
      </c>
      <c r="G554" s="1">
        <v>1200</v>
      </c>
      <c r="H554" s="1">
        <v>0.09</v>
      </c>
      <c r="I554" s="1">
        <v>108</v>
      </c>
      <c r="J554" t="s">
        <v>32</v>
      </c>
    </row>
    <row r="555" spans="1:10" x14ac:dyDescent="0.35">
      <c r="A555" t="s">
        <v>585</v>
      </c>
      <c r="B555" s="2">
        <v>43302</v>
      </c>
      <c r="C555" t="s">
        <v>19</v>
      </c>
      <c r="D555" t="s">
        <v>16</v>
      </c>
      <c r="E555" s="1">
        <v>7</v>
      </c>
      <c r="F555" s="1">
        <v>230</v>
      </c>
      <c r="G555" s="1">
        <v>1610</v>
      </c>
      <c r="H555" s="1">
        <v>0.01</v>
      </c>
      <c r="I555" s="1">
        <v>16</v>
      </c>
      <c r="J555" t="s">
        <v>35</v>
      </c>
    </row>
    <row r="556" spans="1:10" x14ac:dyDescent="0.35">
      <c r="A556" t="s">
        <v>586</v>
      </c>
      <c r="B556" s="2">
        <v>43302</v>
      </c>
      <c r="C556" t="s">
        <v>34</v>
      </c>
      <c r="D556" t="s">
        <v>16</v>
      </c>
      <c r="E556" s="1">
        <v>23</v>
      </c>
      <c r="F556" s="1">
        <v>150</v>
      </c>
      <c r="G556" s="1">
        <v>3450</v>
      </c>
      <c r="H556" s="1">
        <v>0.11</v>
      </c>
      <c r="I556" s="1">
        <v>380</v>
      </c>
      <c r="J556" t="s">
        <v>37</v>
      </c>
    </row>
    <row r="557" spans="1:10" x14ac:dyDescent="0.35">
      <c r="A557" t="s">
        <v>587</v>
      </c>
      <c r="B557" s="2">
        <v>43302</v>
      </c>
      <c r="C557" t="s">
        <v>15</v>
      </c>
      <c r="D557" t="s">
        <v>31</v>
      </c>
      <c r="E557" s="1">
        <v>16</v>
      </c>
      <c r="F557" s="1">
        <v>40</v>
      </c>
      <c r="G557" s="1">
        <v>640</v>
      </c>
      <c r="H557" s="1">
        <v>0.09</v>
      </c>
      <c r="I557" s="1">
        <v>58</v>
      </c>
      <c r="J557" t="s">
        <v>39</v>
      </c>
    </row>
    <row r="558" spans="1:10" x14ac:dyDescent="0.35">
      <c r="A558" t="s">
        <v>588</v>
      </c>
      <c r="B558" s="2">
        <v>43302</v>
      </c>
      <c r="C558" t="s">
        <v>15</v>
      </c>
      <c r="D558" t="s">
        <v>31</v>
      </c>
      <c r="E558" s="1">
        <v>20</v>
      </c>
      <c r="F558" s="1">
        <v>40</v>
      </c>
      <c r="G558" s="1">
        <v>800</v>
      </c>
      <c r="H558" s="1">
        <v>0.1</v>
      </c>
      <c r="I558" s="1">
        <v>80</v>
      </c>
      <c r="J558" t="s">
        <v>32</v>
      </c>
    </row>
    <row r="559" spans="1:10" x14ac:dyDescent="0.35">
      <c r="A559" t="s">
        <v>589</v>
      </c>
      <c r="B559" s="2">
        <v>43302</v>
      </c>
      <c r="C559" t="s">
        <v>15</v>
      </c>
      <c r="D559" t="s">
        <v>16</v>
      </c>
      <c r="E559" s="1">
        <v>18</v>
      </c>
      <c r="F559" s="1">
        <v>40</v>
      </c>
      <c r="G559" s="1">
        <v>720</v>
      </c>
      <c r="H559" s="1">
        <v>0.08</v>
      </c>
      <c r="I559" s="1">
        <v>58</v>
      </c>
      <c r="J559" t="s">
        <v>35</v>
      </c>
    </row>
    <row r="560" spans="1:10" x14ac:dyDescent="0.35">
      <c r="A560" t="s">
        <v>590</v>
      </c>
      <c r="B560" s="2">
        <v>43302</v>
      </c>
      <c r="C560" t="s">
        <v>11</v>
      </c>
      <c r="D560" t="s">
        <v>31</v>
      </c>
      <c r="E560" s="1">
        <v>22</v>
      </c>
      <c r="F560" s="1">
        <v>80</v>
      </c>
      <c r="G560" s="1">
        <v>1760</v>
      </c>
      <c r="H560" s="1">
        <v>0.09</v>
      </c>
      <c r="I560" s="1">
        <v>158</v>
      </c>
      <c r="J560" t="s">
        <v>37</v>
      </c>
    </row>
    <row r="561" spans="1:10" x14ac:dyDescent="0.35">
      <c r="A561" t="s">
        <v>591</v>
      </c>
      <c r="B561" s="2">
        <v>43302</v>
      </c>
      <c r="C561" t="s">
        <v>34</v>
      </c>
      <c r="D561" t="s">
        <v>16</v>
      </c>
      <c r="E561" s="1">
        <v>22</v>
      </c>
      <c r="F561" s="1">
        <v>150</v>
      </c>
      <c r="G561" s="1">
        <v>3300</v>
      </c>
      <c r="H561" s="1">
        <v>0.02</v>
      </c>
      <c r="I561" s="1">
        <v>66</v>
      </c>
      <c r="J561" t="s">
        <v>39</v>
      </c>
    </row>
    <row r="562" spans="1:10" x14ac:dyDescent="0.35">
      <c r="A562" t="s">
        <v>592</v>
      </c>
      <c r="B562" s="2">
        <v>43302</v>
      </c>
      <c r="C562" t="s">
        <v>34</v>
      </c>
      <c r="D562" t="s">
        <v>16</v>
      </c>
      <c r="E562" s="1">
        <v>20</v>
      </c>
      <c r="F562" s="1">
        <v>150</v>
      </c>
      <c r="G562" s="1">
        <v>3000</v>
      </c>
      <c r="H562" s="1">
        <v>0.09</v>
      </c>
      <c r="I562" s="1">
        <v>270</v>
      </c>
      <c r="J562" t="s">
        <v>32</v>
      </c>
    </row>
    <row r="563" spans="1:10" x14ac:dyDescent="0.35">
      <c r="A563" t="s">
        <v>593</v>
      </c>
      <c r="B563" s="2">
        <v>43302</v>
      </c>
      <c r="C563" t="s">
        <v>30</v>
      </c>
      <c r="D563" t="s">
        <v>12</v>
      </c>
      <c r="E563" s="1">
        <v>10</v>
      </c>
      <c r="F563" s="1">
        <v>16</v>
      </c>
      <c r="G563" s="1">
        <v>160</v>
      </c>
      <c r="H563" s="1">
        <v>0.08</v>
      </c>
      <c r="I563" s="1">
        <v>13</v>
      </c>
      <c r="J563" t="s">
        <v>35</v>
      </c>
    </row>
    <row r="564" spans="1:10" x14ac:dyDescent="0.35">
      <c r="A564" t="s">
        <v>594</v>
      </c>
      <c r="B564" s="2">
        <v>43302</v>
      </c>
      <c r="C564" t="s">
        <v>15</v>
      </c>
      <c r="D564" t="s">
        <v>24</v>
      </c>
      <c r="E564" s="1">
        <v>12</v>
      </c>
      <c r="F564" s="1">
        <v>40</v>
      </c>
      <c r="G564" s="1">
        <v>480</v>
      </c>
      <c r="H564" s="1">
        <v>0.02</v>
      </c>
      <c r="I564" s="1">
        <v>10</v>
      </c>
      <c r="J564" t="s">
        <v>37</v>
      </c>
    </row>
    <row r="565" spans="1:10" x14ac:dyDescent="0.35">
      <c r="A565" t="s">
        <v>595</v>
      </c>
      <c r="B565" s="2">
        <v>43302</v>
      </c>
      <c r="C565" t="s">
        <v>34</v>
      </c>
      <c r="D565" t="s">
        <v>12</v>
      </c>
      <c r="E565" s="1">
        <v>4</v>
      </c>
      <c r="F565" s="1">
        <v>150</v>
      </c>
      <c r="G565" s="1">
        <v>600</v>
      </c>
      <c r="H565" s="1">
        <v>0.1</v>
      </c>
      <c r="I565" s="1">
        <v>60</v>
      </c>
      <c r="J565" t="s">
        <v>39</v>
      </c>
    </row>
    <row r="566" spans="1:10" x14ac:dyDescent="0.35">
      <c r="A566" t="s">
        <v>596</v>
      </c>
      <c r="B566" s="2">
        <v>43302</v>
      </c>
      <c r="C566" t="s">
        <v>11</v>
      </c>
      <c r="D566" t="s">
        <v>24</v>
      </c>
      <c r="E566" s="1">
        <v>5</v>
      </c>
      <c r="F566" s="1">
        <v>80</v>
      </c>
      <c r="G566" s="1">
        <v>400</v>
      </c>
      <c r="H566" s="1">
        <v>0.09</v>
      </c>
      <c r="I566" s="1">
        <v>36</v>
      </c>
      <c r="J566" t="s">
        <v>32</v>
      </c>
    </row>
    <row r="567" spans="1:10" x14ac:dyDescent="0.35">
      <c r="A567" t="s">
        <v>597</v>
      </c>
      <c r="B567" s="2">
        <v>43302</v>
      </c>
      <c r="C567" t="s">
        <v>15</v>
      </c>
      <c r="D567" t="s">
        <v>12</v>
      </c>
      <c r="E567" s="1">
        <v>11</v>
      </c>
      <c r="F567" s="1">
        <v>40</v>
      </c>
      <c r="G567" s="1">
        <v>440</v>
      </c>
      <c r="H567" s="1">
        <v>0.04</v>
      </c>
      <c r="I567" s="1">
        <v>18</v>
      </c>
      <c r="J567" t="s">
        <v>35</v>
      </c>
    </row>
    <row r="568" spans="1:10" x14ac:dyDescent="0.35">
      <c r="A568" t="s">
        <v>598</v>
      </c>
      <c r="B568" s="2">
        <v>43302</v>
      </c>
      <c r="C568" t="s">
        <v>34</v>
      </c>
      <c r="D568" t="s">
        <v>16</v>
      </c>
      <c r="E568" s="1">
        <v>13</v>
      </c>
      <c r="F568" s="1">
        <v>150</v>
      </c>
      <c r="G568" s="1">
        <v>1950</v>
      </c>
      <c r="H568" s="1">
        <v>0.08</v>
      </c>
      <c r="I568" s="1">
        <v>156</v>
      </c>
      <c r="J568" t="s">
        <v>37</v>
      </c>
    </row>
    <row r="569" spans="1:10" x14ac:dyDescent="0.35">
      <c r="A569" t="s">
        <v>599</v>
      </c>
      <c r="B569" s="2">
        <v>43302</v>
      </c>
      <c r="C569" t="s">
        <v>11</v>
      </c>
      <c r="D569" t="s">
        <v>27</v>
      </c>
      <c r="E569" s="1">
        <v>19</v>
      </c>
      <c r="F569" s="1">
        <v>80</v>
      </c>
      <c r="G569" s="1">
        <v>1520</v>
      </c>
      <c r="H569" s="1">
        <v>0.02</v>
      </c>
      <c r="I569" s="1">
        <v>30</v>
      </c>
      <c r="J569" t="s">
        <v>39</v>
      </c>
    </row>
    <row r="570" spans="1:10" x14ac:dyDescent="0.35">
      <c r="A570" t="s">
        <v>600</v>
      </c>
      <c r="B570" s="2">
        <v>43302</v>
      </c>
      <c r="C570" t="s">
        <v>19</v>
      </c>
      <c r="D570" t="s">
        <v>16</v>
      </c>
      <c r="E570" s="1">
        <v>7</v>
      </c>
      <c r="F570" s="1">
        <v>230</v>
      </c>
      <c r="G570" s="1">
        <v>1610</v>
      </c>
      <c r="H570" s="1">
        <v>0.01</v>
      </c>
      <c r="I570" s="1">
        <v>16</v>
      </c>
      <c r="J570" t="s">
        <v>32</v>
      </c>
    </row>
    <row r="571" spans="1:10" x14ac:dyDescent="0.35">
      <c r="A571" t="s">
        <v>601</v>
      </c>
      <c r="B571" s="2">
        <v>43303</v>
      </c>
      <c r="C571" t="s">
        <v>11</v>
      </c>
      <c r="D571" t="s">
        <v>31</v>
      </c>
      <c r="E571" s="1">
        <v>16</v>
      </c>
      <c r="F571" s="1">
        <v>80</v>
      </c>
      <c r="G571" s="1">
        <v>1280</v>
      </c>
      <c r="H571" s="1">
        <v>0.09</v>
      </c>
      <c r="I571" s="1">
        <v>115</v>
      </c>
      <c r="J571" t="s">
        <v>35</v>
      </c>
    </row>
    <row r="572" spans="1:10" x14ac:dyDescent="0.35">
      <c r="A572" t="s">
        <v>602</v>
      </c>
      <c r="B572" s="2">
        <v>43303</v>
      </c>
      <c r="C572" t="s">
        <v>19</v>
      </c>
      <c r="D572" t="s">
        <v>12</v>
      </c>
      <c r="E572" s="1">
        <v>7</v>
      </c>
      <c r="F572" s="1">
        <v>230</v>
      </c>
      <c r="G572" s="1">
        <v>1610</v>
      </c>
      <c r="H572" s="1">
        <v>0.02</v>
      </c>
      <c r="I572" s="1">
        <v>32</v>
      </c>
      <c r="J572" t="s">
        <v>37</v>
      </c>
    </row>
    <row r="573" spans="1:10" x14ac:dyDescent="0.35">
      <c r="A573" t="s">
        <v>603</v>
      </c>
      <c r="B573" s="2">
        <v>43303</v>
      </c>
      <c r="C573" t="s">
        <v>15</v>
      </c>
      <c r="D573" t="s">
        <v>12</v>
      </c>
      <c r="E573" s="1">
        <v>5</v>
      </c>
      <c r="F573" s="1">
        <v>40</v>
      </c>
      <c r="G573" s="1">
        <v>200</v>
      </c>
      <c r="H573" s="1">
        <v>0.06</v>
      </c>
      <c r="I573" s="1">
        <v>12</v>
      </c>
      <c r="J573" t="s">
        <v>39</v>
      </c>
    </row>
    <row r="574" spans="1:10" x14ac:dyDescent="0.35">
      <c r="A574" t="s">
        <v>604</v>
      </c>
      <c r="B574" s="2">
        <v>43303</v>
      </c>
      <c r="C574" t="s">
        <v>34</v>
      </c>
      <c r="D574" t="s">
        <v>24</v>
      </c>
      <c r="E574" s="1">
        <v>9</v>
      </c>
      <c r="F574" s="1">
        <v>150</v>
      </c>
      <c r="G574" s="1">
        <v>1350</v>
      </c>
      <c r="H574" s="1">
        <v>0.06</v>
      </c>
      <c r="I574" s="1">
        <v>81</v>
      </c>
      <c r="J574" t="s">
        <v>32</v>
      </c>
    </row>
    <row r="575" spans="1:10" x14ac:dyDescent="0.35">
      <c r="A575" t="s">
        <v>605</v>
      </c>
      <c r="B575" s="2">
        <v>43303</v>
      </c>
      <c r="C575" t="s">
        <v>15</v>
      </c>
      <c r="D575" t="s">
        <v>31</v>
      </c>
      <c r="E575" s="1">
        <v>20</v>
      </c>
      <c r="F575" s="1">
        <v>40</v>
      </c>
      <c r="G575" s="1">
        <v>800</v>
      </c>
      <c r="H575" s="1">
        <v>7.0000000000000007E-2</v>
      </c>
      <c r="I575" s="1">
        <v>56</v>
      </c>
      <c r="J575" t="s">
        <v>35</v>
      </c>
    </row>
    <row r="576" spans="1:10" x14ac:dyDescent="0.35">
      <c r="A576" t="s">
        <v>606</v>
      </c>
      <c r="B576" s="2">
        <v>43303</v>
      </c>
      <c r="C576" t="s">
        <v>30</v>
      </c>
      <c r="D576" t="s">
        <v>16</v>
      </c>
      <c r="E576" s="1">
        <v>20</v>
      </c>
      <c r="F576" s="1">
        <v>16</v>
      </c>
      <c r="G576" s="1">
        <v>320</v>
      </c>
      <c r="H576" s="1">
        <v>0.06</v>
      </c>
      <c r="I576" s="1">
        <v>19</v>
      </c>
      <c r="J576" t="s">
        <v>37</v>
      </c>
    </row>
    <row r="577" spans="1:10" x14ac:dyDescent="0.35">
      <c r="A577" t="s">
        <v>607</v>
      </c>
      <c r="B577" s="2">
        <v>43303</v>
      </c>
      <c r="C577" t="s">
        <v>15</v>
      </c>
      <c r="D577" t="s">
        <v>31</v>
      </c>
      <c r="E577" s="1">
        <v>5</v>
      </c>
      <c r="F577" s="1">
        <v>40</v>
      </c>
      <c r="G577" s="1">
        <v>200</v>
      </c>
      <c r="H577" s="1">
        <v>0.03</v>
      </c>
      <c r="I577" s="1">
        <v>6</v>
      </c>
      <c r="J577" t="s">
        <v>39</v>
      </c>
    </row>
    <row r="578" spans="1:10" x14ac:dyDescent="0.35">
      <c r="A578" t="s">
        <v>608</v>
      </c>
      <c r="B578" s="2">
        <v>43304</v>
      </c>
      <c r="C578" t="s">
        <v>11</v>
      </c>
      <c r="D578" t="s">
        <v>27</v>
      </c>
      <c r="E578" s="1">
        <v>7</v>
      </c>
      <c r="F578" s="1">
        <v>80</v>
      </c>
      <c r="G578" s="1">
        <v>560</v>
      </c>
      <c r="H578" s="1">
        <v>7.0000000000000007E-2</v>
      </c>
      <c r="I578" s="1">
        <v>39</v>
      </c>
      <c r="J578" t="s">
        <v>32</v>
      </c>
    </row>
    <row r="579" spans="1:10" x14ac:dyDescent="0.35">
      <c r="A579" t="s">
        <v>609</v>
      </c>
      <c r="B579" s="2">
        <v>43304</v>
      </c>
      <c r="C579" t="s">
        <v>30</v>
      </c>
      <c r="D579" t="s">
        <v>31</v>
      </c>
      <c r="E579" s="1">
        <v>22</v>
      </c>
      <c r="F579" s="1">
        <v>16</v>
      </c>
      <c r="G579" s="1">
        <v>352</v>
      </c>
      <c r="H579" s="1">
        <v>0.12</v>
      </c>
      <c r="I579" s="1">
        <v>42</v>
      </c>
      <c r="J579" t="s">
        <v>35</v>
      </c>
    </row>
    <row r="580" spans="1:10" x14ac:dyDescent="0.35">
      <c r="A580" t="s">
        <v>610</v>
      </c>
      <c r="B580" s="2">
        <v>43304</v>
      </c>
      <c r="C580" t="s">
        <v>30</v>
      </c>
      <c r="D580" t="s">
        <v>31</v>
      </c>
      <c r="E580" s="1">
        <v>11</v>
      </c>
      <c r="F580" s="1">
        <v>16</v>
      </c>
      <c r="G580" s="1">
        <v>176</v>
      </c>
      <c r="H580" s="1">
        <v>0.12</v>
      </c>
      <c r="I580" s="1">
        <v>21</v>
      </c>
      <c r="J580" t="s">
        <v>37</v>
      </c>
    </row>
    <row r="581" spans="1:10" x14ac:dyDescent="0.35">
      <c r="A581" t="s">
        <v>611</v>
      </c>
      <c r="B581" s="2">
        <v>43304</v>
      </c>
      <c r="C581" t="s">
        <v>19</v>
      </c>
      <c r="D581" t="s">
        <v>27</v>
      </c>
      <c r="E581" s="1">
        <v>17</v>
      </c>
      <c r="F581" s="1">
        <v>230</v>
      </c>
      <c r="G581" s="1">
        <v>3910</v>
      </c>
      <c r="H581" s="1">
        <v>0.12</v>
      </c>
      <c r="I581" s="1">
        <v>469</v>
      </c>
      <c r="J581" t="s">
        <v>39</v>
      </c>
    </row>
    <row r="582" spans="1:10" x14ac:dyDescent="0.35">
      <c r="A582" t="s">
        <v>612</v>
      </c>
      <c r="B582" s="2">
        <v>43304</v>
      </c>
      <c r="C582" t="s">
        <v>11</v>
      </c>
      <c r="D582" t="s">
        <v>12</v>
      </c>
      <c r="E582" s="1">
        <v>7</v>
      </c>
      <c r="F582" s="1">
        <v>80</v>
      </c>
      <c r="G582" s="1">
        <v>560</v>
      </c>
      <c r="H582" s="1">
        <v>0.02</v>
      </c>
      <c r="I582" s="1">
        <v>11</v>
      </c>
      <c r="J582" t="s">
        <v>32</v>
      </c>
    </row>
    <row r="583" spans="1:10" x14ac:dyDescent="0.35">
      <c r="A583" t="s">
        <v>613</v>
      </c>
      <c r="B583" s="2">
        <v>43304</v>
      </c>
      <c r="C583" t="s">
        <v>30</v>
      </c>
      <c r="D583" t="s">
        <v>16</v>
      </c>
      <c r="E583" s="1">
        <v>5</v>
      </c>
      <c r="F583" s="1">
        <v>16</v>
      </c>
      <c r="G583" s="1">
        <v>80</v>
      </c>
      <c r="H583" s="1">
        <v>0.11</v>
      </c>
      <c r="I583" s="1">
        <v>9</v>
      </c>
      <c r="J583" t="s">
        <v>35</v>
      </c>
    </row>
    <row r="584" spans="1:10" x14ac:dyDescent="0.35">
      <c r="A584" t="s">
        <v>614</v>
      </c>
      <c r="B584" s="2">
        <v>43304</v>
      </c>
      <c r="C584" t="s">
        <v>34</v>
      </c>
      <c r="D584" t="s">
        <v>31</v>
      </c>
      <c r="E584" s="1">
        <v>18</v>
      </c>
      <c r="F584" s="1">
        <v>150</v>
      </c>
      <c r="G584" s="1">
        <v>2700</v>
      </c>
      <c r="H584" s="1">
        <v>0.12</v>
      </c>
      <c r="I584" s="1">
        <v>324</v>
      </c>
      <c r="J584" t="s">
        <v>37</v>
      </c>
    </row>
    <row r="585" spans="1:10" x14ac:dyDescent="0.35">
      <c r="A585" t="s">
        <v>615</v>
      </c>
      <c r="B585" s="2">
        <v>43304</v>
      </c>
      <c r="C585" t="s">
        <v>15</v>
      </c>
      <c r="D585" t="s">
        <v>31</v>
      </c>
      <c r="E585" s="1">
        <v>10</v>
      </c>
      <c r="F585" s="1">
        <v>40</v>
      </c>
      <c r="G585" s="1">
        <v>400</v>
      </c>
      <c r="H585" s="1">
        <v>0.03</v>
      </c>
      <c r="I585" s="1">
        <v>12</v>
      </c>
      <c r="J585" t="s">
        <v>39</v>
      </c>
    </row>
    <row r="586" spans="1:10" x14ac:dyDescent="0.35">
      <c r="A586" t="s">
        <v>616</v>
      </c>
      <c r="B586" s="2">
        <v>43304</v>
      </c>
      <c r="C586" t="s">
        <v>15</v>
      </c>
      <c r="D586" t="s">
        <v>31</v>
      </c>
      <c r="E586" s="1">
        <v>14</v>
      </c>
      <c r="F586" s="1">
        <v>40</v>
      </c>
      <c r="G586" s="1">
        <v>560</v>
      </c>
      <c r="H586" s="1">
        <v>0.11</v>
      </c>
      <c r="I586" s="1">
        <v>62</v>
      </c>
      <c r="J586" t="s">
        <v>32</v>
      </c>
    </row>
    <row r="587" spans="1:10" x14ac:dyDescent="0.35">
      <c r="A587" t="s">
        <v>617</v>
      </c>
      <c r="B587" s="2">
        <v>43304</v>
      </c>
      <c r="C587" t="s">
        <v>15</v>
      </c>
      <c r="D587" t="s">
        <v>31</v>
      </c>
      <c r="E587" s="1">
        <v>16</v>
      </c>
      <c r="F587" s="1">
        <v>40</v>
      </c>
      <c r="G587" s="1">
        <v>640</v>
      </c>
      <c r="H587" s="1">
        <v>0.09</v>
      </c>
      <c r="I587" s="1">
        <v>58</v>
      </c>
      <c r="J587" t="s">
        <v>35</v>
      </c>
    </row>
    <row r="588" spans="1:10" x14ac:dyDescent="0.35">
      <c r="A588" t="s">
        <v>618</v>
      </c>
      <c r="B588" s="2">
        <v>43305</v>
      </c>
      <c r="C588" t="s">
        <v>15</v>
      </c>
      <c r="D588" t="s">
        <v>27</v>
      </c>
      <c r="E588" s="1">
        <v>23</v>
      </c>
      <c r="F588" s="1">
        <v>40</v>
      </c>
      <c r="G588" s="1">
        <v>920</v>
      </c>
      <c r="H588" s="1">
        <v>0.06</v>
      </c>
      <c r="I588" s="1">
        <v>55</v>
      </c>
      <c r="J588" t="s">
        <v>37</v>
      </c>
    </row>
    <row r="589" spans="1:10" x14ac:dyDescent="0.35">
      <c r="A589" t="s">
        <v>619</v>
      </c>
      <c r="B589" s="2">
        <v>43305</v>
      </c>
      <c r="C589" t="s">
        <v>19</v>
      </c>
      <c r="D589" t="s">
        <v>27</v>
      </c>
      <c r="E589" s="1">
        <v>8</v>
      </c>
      <c r="F589" s="1">
        <v>230</v>
      </c>
      <c r="G589" s="1">
        <v>1840</v>
      </c>
      <c r="H589" s="1">
        <v>0.05</v>
      </c>
      <c r="I589" s="1">
        <v>92</v>
      </c>
      <c r="J589" t="s">
        <v>39</v>
      </c>
    </row>
    <row r="590" spans="1:10" x14ac:dyDescent="0.35">
      <c r="A590" t="s">
        <v>620</v>
      </c>
      <c r="B590" s="2">
        <v>43305</v>
      </c>
      <c r="C590" t="s">
        <v>30</v>
      </c>
      <c r="D590" t="s">
        <v>27</v>
      </c>
      <c r="E590" s="1">
        <v>14</v>
      </c>
      <c r="F590" s="1">
        <v>16</v>
      </c>
      <c r="G590" s="1">
        <v>224</v>
      </c>
      <c r="H590" s="1">
        <v>0.12</v>
      </c>
      <c r="I590" s="1">
        <v>27</v>
      </c>
      <c r="J590" t="s">
        <v>32</v>
      </c>
    </row>
    <row r="591" spans="1:10" x14ac:dyDescent="0.35">
      <c r="A591" t="s">
        <v>621</v>
      </c>
      <c r="B591" s="2">
        <v>43305</v>
      </c>
      <c r="C591" t="s">
        <v>11</v>
      </c>
      <c r="D591" t="s">
        <v>12</v>
      </c>
      <c r="E591" s="1">
        <v>17</v>
      </c>
      <c r="F591" s="1">
        <v>80</v>
      </c>
      <c r="G591" s="1">
        <v>1360</v>
      </c>
      <c r="H591" s="1">
        <v>0.09</v>
      </c>
      <c r="I591" s="1">
        <v>122</v>
      </c>
      <c r="J591" t="s">
        <v>35</v>
      </c>
    </row>
    <row r="592" spans="1:10" x14ac:dyDescent="0.35">
      <c r="A592" t="s">
        <v>622</v>
      </c>
      <c r="B592" s="2">
        <v>43305</v>
      </c>
      <c r="C592" t="s">
        <v>34</v>
      </c>
      <c r="D592" t="s">
        <v>24</v>
      </c>
      <c r="E592" s="1">
        <v>11</v>
      </c>
      <c r="F592" s="1">
        <v>150</v>
      </c>
      <c r="G592" s="1">
        <v>1650</v>
      </c>
      <c r="H592" s="1">
        <v>0.11</v>
      </c>
      <c r="I592" s="1">
        <v>182</v>
      </c>
      <c r="J592" t="s">
        <v>37</v>
      </c>
    </row>
    <row r="593" spans="1:10" x14ac:dyDescent="0.35">
      <c r="A593" t="s">
        <v>623</v>
      </c>
      <c r="B593" s="2">
        <v>43305</v>
      </c>
      <c r="C593" t="s">
        <v>15</v>
      </c>
      <c r="D593" t="s">
        <v>27</v>
      </c>
      <c r="E593" s="1">
        <v>15</v>
      </c>
      <c r="F593" s="1">
        <v>40</v>
      </c>
      <c r="G593" s="1">
        <v>600</v>
      </c>
      <c r="H593" s="1">
        <v>0.03</v>
      </c>
      <c r="I593" s="1">
        <v>18</v>
      </c>
      <c r="J593" t="s">
        <v>39</v>
      </c>
    </row>
    <row r="594" spans="1:10" x14ac:dyDescent="0.35">
      <c r="A594" t="s">
        <v>624</v>
      </c>
      <c r="B594" s="2">
        <v>43305</v>
      </c>
      <c r="C594" t="s">
        <v>11</v>
      </c>
      <c r="D594" t="s">
        <v>31</v>
      </c>
      <c r="E594" s="1">
        <v>9</v>
      </c>
      <c r="F594" s="1">
        <v>80</v>
      </c>
      <c r="G594" s="1">
        <v>720</v>
      </c>
      <c r="H594" s="1">
        <v>7.0000000000000007E-2</v>
      </c>
      <c r="I594" s="1">
        <v>50</v>
      </c>
      <c r="J594" t="s">
        <v>32</v>
      </c>
    </row>
    <row r="595" spans="1:10" x14ac:dyDescent="0.35">
      <c r="A595" t="s">
        <v>625</v>
      </c>
      <c r="B595" s="2">
        <v>43305</v>
      </c>
      <c r="C595" t="s">
        <v>19</v>
      </c>
      <c r="D595" t="s">
        <v>16</v>
      </c>
      <c r="E595" s="1">
        <v>22</v>
      </c>
      <c r="F595" s="1">
        <v>230</v>
      </c>
      <c r="G595" s="1">
        <v>5060</v>
      </c>
      <c r="H595" s="1">
        <v>0.04</v>
      </c>
      <c r="I595" s="1">
        <v>202</v>
      </c>
      <c r="J595" t="s">
        <v>35</v>
      </c>
    </row>
    <row r="596" spans="1:10" x14ac:dyDescent="0.35">
      <c r="A596" t="s">
        <v>626</v>
      </c>
      <c r="B596" s="2">
        <v>43305</v>
      </c>
      <c r="C596" t="s">
        <v>19</v>
      </c>
      <c r="D596" t="s">
        <v>16</v>
      </c>
      <c r="E596" s="1">
        <v>11</v>
      </c>
      <c r="F596" s="1">
        <v>230</v>
      </c>
      <c r="G596" s="1">
        <v>2530</v>
      </c>
      <c r="H596" s="1">
        <v>0.1</v>
      </c>
      <c r="I596" s="1">
        <v>253</v>
      </c>
      <c r="J596" t="s">
        <v>37</v>
      </c>
    </row>
    <row r="597" spans="1:10" x14ac:dyDescent="0.35">
      <c r="A597" t="s">
        <v>627</v>
      </c>
      <c r="B597" s="2">
        <v>43305</v>
      </c>
      <c r="C597" t="s">
        <v>15</v>
      </c>
      <c r="D597" t="s">
        <v>24</v>
      </c>
      <c r="E597" s="1">
        <v>11</v>
      </c>
      <c r="F597" s="1">
        <v>40</v>
      </c>
      <c r="G597" s="1">
        <v>440</v>
      </c>
      <c r="H597" s="1">
        <v>0.12</v>
      </c>
      <c r="I597" s="1">
        <v>53</v>
      </c>
      <c r="J597" t="s">
        <v>39</v>
      </c>
    </row>
    <row r="598" spans="1:10" x14ac:dyDescent="0.35">
      <c r="A598" t="s">
        <v>628</v>
      </c>
      <c r="B598" s="2">
        <v>43305</v>
      </c>
      <c r="C598" t="s">
        <v>15</v>
      </c>
      <c r="D598" t="s">
        <v>27</v>
      </c>
      <c r="E598" s="1">
        <v>9</v>
      </c>
      <c r="F598" s="1">
        <v>40</v>
      </c>
      <c r="G598" s="1">
        <v>360</v>
      </c>
      <c r="H598" s="1">
        <v>0.06</v>
      </c>
      <c r="I598" s="1">
        <v>22</v>
      </c>
      <c r="J598" t="s">
        <v>32</v>
      </c>
    </row>
    <row r="599" spans="1:10" x14ac:dyDescent="0.35">
      <c r="A599" t="s">
        <v>629</v>
      </c>
      <c r="B599" s="2">
        <v>43306</v>
      </c>
      <c r="C599" t="s">
        <v>15</v>
      </c>
      <c r="D599" t="s">
        <v>27</v>
      </c>
      <c r="E599" s="1">
        <v>13</v>
      </c>
      <c r="F599" s="1">
        <v>40</v>
      </c>
      <c r="G599" s="1">
        <v>520</v>
      </c>
      <c r="H599" s="1">
        <v>0.09</v>
      </c>
      <c r="I599" s="1">
        <v>47</v>
      </c>
      <c r="J599" t="s">
        <v>35</v>
      </c>
    </row>
    <row r="600" spans="1:10" x14ac:dyDescent="0.35">
      <c r="A600" t="s">
        <v>630</v>
      </c>
      <c r="B600" s="2">
        <v>43306</v>
      </c>
      <c r="C600" t="s">
        <v>15</v>
      </c>
      <c r="D600" t="s">
        <v>16</v>
      </c>
      <c r="E600" s="1">
        <v>4</v>
      </c>
      <c r="F600" s="1">
        <v>40</v>
      </c>
      <c r="G600" s="1">
        <v>160</v>
      </c>
      <c r="H600" s="1">
        <v>0.12</v>
      </c>
      <c r="I600" s="1">
        <v>19</v>
      </c>
      <c r="J600" t="s">
        <v>37</v>
      </c>
    </row>
    <row r="601" spans="1:10" x14ac:dyDescent="0.35">
      <c r="A601" t="s">
        <v>631</v>
      </c>
      <c r="B601" s="2">
        <v>43306</v>
      </c>
      <c r="C601" t="s">
        <v>34</v>
      </c>
      <c r="D601" t="s">
        <v>12</v>
      </c>
      <c r="E601" s="1">
        <v>22</v>
      </c>
      <c r="F601" s="1">
        <v>150</v>
      </c>
      <c r="G601" s="1">
        <v>3300</v>
      </c>
      <c r="H601" s="1">
        <v>0.05</v>
      </c>
      <c r="I601" s="1">
        <v>165</v>
      </c>
      <c r="J601" t="s">
        <v>39</v>
      </c>
    </row>
    <row r="602" spans="1:10" x14ac:dyDescent="0.35">
      <c r="A602" t="s">
        <v>632</v>
      </c>
      <c r="B602" s="2">
        <v>43306</v>
      </c>
      <c r="C602" t="s">
        <v>15</v>
      </c>
      <c r="D602" t="s">
        <v>31</v>
      </c>
      <c r="E602" s="1">
        <v>21</v>
      </c>
      <c r="F602" s="1">
        <v>40</v>
      </c>
      <c r="G602" s="1">
        <v>840</v>
      </c>
      <c r="H602" s="1">
        <v>0.01</v>
      </c>
      <c r="I602" s="1">
        <v>8</v>
      </c>
      <c r="J602" t="s">
        <v>32</v>
      </c>
    </row>
    <row r="603" spans="1:10" x14ac:dyDescent="0.35">
      <c r="A603" t="s">
        <v>633</v>
      </c>
      <c r="B603" s="2">
        <v>43306</v>
      </c>
      <c r="C603" t="s">
        <v>30</v>
      </c>
      <c r="D603" t="s">
        <v>12</v>
      </c>
      <c r="E603" s="1">
        <v>16</v>
      </c>
      <c r="F603" s="1">
        <v>16</v>
      </c>
      <c r="G603" s="1">
        <v>256</v>
      </c>
      <c r="H603" s="1">
        <v>0.03</v>
      </c>
      <c r="I603" s="1">
        <v>8</v>
      </c>
      <c r="J603" t="s">
        <v>35</v>
      </c>
    </row>
    <row r="604" spans="1:10" x14ac:dyDescent="0.35">
      <c r="A604" t="s">
        <v>634</v>
      </c>
      <c r="B604" s="2">
        <v>43306</v>
      </c>
      <c r="C604" t="s">
        <v>11</v>
      </c>
      <c r="D604" t="s">
        <v>27</v>
      </c>
      <c r="E604" s="1">
        <v>16</v>
      </c>
      <c r="F604" s="1">
        <v>80</v>
      </c>
      <c r="G604" s="1">
        <v>1280</v>
      </c>
      <c r="H604" s="1">
        <v>7.0000000000000007E-2</v>
      </c>
      <c r="I604" s="1">
        <v>90</v>
      </c>
      <c r="J604" t="s">
        <v>37</v>
      </c>
    </row>
    <row r="605" spans="1:10" x14ac:dyDescent="0.35">
      <c r="A605" t="s">
        <v>635</v>
      </c>
      <c r="B605" s="2">
        <v>43306</v>
      </c>
      <c r="C605" t="s">
        <v>11</v>
      </c>
      <c r="D605" t="s">
        <v>16</v>
      </c>
      <c r="E605" s="1">
        <v>15</v>
      </c>
      <c r="F605" s="1">
        <v>80</v>
      </c>
      <c r="G605" s="1">
        <v>1200</v>
      </c>
      <c r="H605" s="1">
        <v>0.12</v>
      </c>
      <c r="I605" s="1">
        <v>144</v>
      </c>
      <c r="J605" t="s">
        <v>39</v>
      </c>
    </row>
    <row r="606" spans="1:10" x14ac:dyDescent="0.35">
      <c r="A606" t="s">
        <v>636</v>
      </c>
      <c r="B606" s="2">
        <v>43306</v>
      </c>
      <c r="C606" t="s">
        <v>34</v>
      </c>
      <c r="D606" t="s">
        <v>12</v>
      </c>
      <c r="E606" s="1">
        <v>20</v>
      </c>
      <c r="F606" s="1">
        <v>150</v>
      </c>
      <c r="G606" s="1">
        <v>3000</v>
      </c>
      <c r="H606" s="1">
        <v>0.03</v>
      </c>
      <c r="I606" s="1">
        <v>90</v>
      </c>
      <c r="J606" t="s">
        <v>32</v>
      </c>
    </row>
    <row r="607" spans="1:10" x14ac:dyDescent="0.35">
      <c r="A607" t="s">
        <v>637</v>
      </c>
      <c r="B607" s="2">
        <v>43306</v>
      </c>
      <c r="C607" t="s">
        <v>15</v>
      </c>
      <c r="D607" t="s">
        <v>27</v>
      </c>
      <c r="E607" s="1">
        <v>13</v>
      </c>
      <c r="F607" s="1">
        <v>40</v>
      </c>
      <c r="G607" s="1">
        <v>520</v>
      </c>
      <c r="H607" s="1">
        <v>0.06</v>
      </c>
      <c r="I607" s="1">
        <v>31</v>
      </c>
      <c r="J607" t="s">
        <v>35</v>
      </c>
    </row>
    <row r="608" spans="1:10" x14ac:dyDescent="0.35">
      <c r="A608" t="s">
        <v>638</v>
      </c>
      <c r="B608" s="2">
        <v>43306</v>
      </c>
      <c r="C608" t="s">
        <v>30</v>
      </c>
      <c r="D608" t="s">
        <v>31</v>
      </c>
      <c r="E608" s="1">
        <v>3</v>
      </c>
      <c r="F608" s="1">
        <v>16</v>
      </c>
      <c r="G608" s="1">
        <v>48</v>
      </c>
      <c r="H608" s="1">
        <v>0.06</v>
      </c>
      <c r="I608" s="1">
        <v>3</v>
      </c>
      <c r="J608" t="s">
        <v>37</v>
      </c>
    </row>
    <row r="609" spans="1:10" x14ac:dyDescent="0.35">
      <c r="A609" t="s">
        <v>639</v>
      </c>
      <c r="B609" s="2">
        <v>43306</v>
      </c>
      <c r="C609" t="s">
        <v>30</v>
      </c>
      <c r="D609" t="s">
        <v>24</v>
      </c>
      <c r="E609" s="1">
        <v>11</v>
      </c>
      <c r="F609" s="1">
        <v>16</v>
      </c>
      <c r="G609" s="1">
        <v>176</v>
      </c>
      <c r="H609" s="1">
        <v>0.04</v>
      </c>
      <c r="I609" s="1">
        <v>7</v>
      </c>
      <c r="J609" t="s">
        <v>39</v>
      </c>
    </row>
    <row r="610" spans="1:10" x14ac:dyDescent="0.35">
      <c r="A610" t="s">
        <v>640</v>
      </c>
      <c r="B610" s="2">
        <v>43307</v>
      </c>
      <c r="C610" t="s">
        <v>15</v>
      </c>
      <c r="D610" t="s">
        <v>31</v>
      </c>
      <c r="E610" s="1">
        <v>16</v>
      </c>
      <c r="F610" s="1">
        <v>40</v>
      </c>
      <c r="G610" s="1">
        <v>640</v>
      </c>
      <c r="H610" s="1">
        <v>0.09</v>
      </c>
      <c r="I610" s="1">
        <v>58</v>
      </c>
      <c r="J610" t="s">
        <v>32</v>
      </c>
    </row>
    <row r="611" spans="1:10" x14ac:dyDescent="0.35">
      <c r="A611" t="s">
        <v>641</v>
      </c>
      <c r="B611" s="2">
        <v>43307</v>
      </c>
      <c r="C611" t="s">
        <v>15</v>
      </c>
      <c r="D611" t="s">
        <v>24</v>
      </c>
      <c r="E611" s="1">
        <v>4</v>
      </c>
      <c r="F611" s="1">
        <v>40</v>
      </c>
      <c r="G611" s="1">
        <v>160</v>
      </c>
      <c r="H611" s="1">
        <v>0.06</v>
      </c>
      <c r="I611" s="1">
        <v>10</v>
      </c>
      <c r="J611" t="s">
        <v>35</v>
      </c>
    </row>
    <row r="612" spans="1:10" x14ac:dyDescent="0.35">
      <c r="A612" t="s">
        <v>642</v>
      </c>
      <c r="B612" s="2">
        <v>43307</v>
      </c>
      <c r="C612" t="s">
        <v>15</v>
      </c>
      <c r="D612" t="s">
        <v>24</v>
      </c>
      <c r="E612" s="1">
        <v>20</v>
      </c>
      <c r="F612" s="1">
        <v>40</v>
      </c>
      <c r="G612" s="1">
        <v>800</v>
      </c>
      <c r="H612" s="1">
        <v>0.01</v>
      </c>
      <c r="I612" s="1">
        <v>8</v>
      </c>
      <c r="J612" t="s">
        <v>37</v>
      </c>
    </row>
    <row r="613" spans="1:10" x14ac:dyDescent="0.35">
      <c r="A613" t="s">
        <v>643</v>
      </c>
      <c r="B613" s="2">
        <v>43307</v>
      </c>
      <c r="C613" t="s">
        <v>15</v>
      </c>
      <c r="D613" t="s">
        <v>24</v>
      </c>
      <c r="E613" s="1">
        <v>4</v>
      </c>
      <c r="F613" s="1">
        <v>40</v>
      </c>
      <c r="G613" s="1">
        <v>160</v>
      </c>
      <c r="H613" s="1">
        <v>0.1</v>
      </c>
      <c r="I613" s="1">
        <v>16</v>
      </c>
      <c r="J613" t="s">
        <v>39</v>
      </c>
    </row>
    <row r="614" spans="1:10" x14ac:dyDescent="0.35">
      <c r="A614" t="s">
        <v>644</v>
      </c>
      <c r="B614" s="2">
        <v>43307</v>
      </c>
      <c r="C614" t="s">
        <v>11</v>
      </c>
      <c r="D614" t="s">
        <v>16</v>
      </c>
      <c r="E614" s="1">
        <v>14</v>
      </c>
      <c r="F614" s="1">
        <v>80</v>
      </c>
      <c r="G614" s="1">
        <v>1120</v>
      </c>
      <c r="H614" s="1">
        <v>0.06</v>
      </c>
      <c r="I614" s="1">
        <v>67</v>
      </c>
      <c r="J614" t="s">
        <v>32</v>
      </c>
    </row>
    <row r="615" spans="1:10" x14ac:dyDescent="0.35">
      <c r="A615" t="s">
        <v>645</v>
      </c>
      <c r="B615" s="2">
        <v>43307</v>
      </c>
      <c r="C615" t="s">
        <v>34</v>
      </c>
      <c r="D615" t="s">
        <v>16</v>
      </c>
      <c r="E615" s="1">
        <v>15</v>
      </c>
      <c r="F615" s="1">
        <v>150</v>
      </c>
      <c r="G615" s="1">
        <v>2250</v>
      </c>
      <c r="H615" s="1">
        <v>0.02</v>
      </c>
      <c r="I615" s="1">
        <v>45</v>
      </c>
      <c r="J615" t="s">
        <v>35</v>
      </c>
    </row>
    <row r="616" spans="1:10" x14ac:dyDescent="0.35">
      <c r="A616" t="s">
        <v>646</v>
      </c>
      <c r="B616" s="2">
        <v>43307</v>
      </c>
      <c r="C616" t="s">
        <v>11</v>
      </c>
      <c r="D616" t="s">
        <v>24</v>
      </c>
      <c r="E616" s="1">
        <v>14</v>
      </c>
      <c r="F616" s="1">
        <v>80</v>
      </c>
      <c r="G616" s="1">
        <v>1120</v>
      </c>
      <c r="H616" s="1">
        <v>0.1</v>
      </c>
      <c r="I616" s="1">
        <v>112</v>
      </c>
      <c r="J616" t="s">
        <v>37</v>
      </c>
    </row>
    <row r="617" spans="1:10" x14ac:dyDescent="0.35">
      <c r="A617" t="s">
        <v>647</v>
      </c>
      <c r="B617" s="2">
        <v>43307</v>
      </c>
      <c r="C617" t="s">
        <v>34</v>
      </c>
      <c r="D617" t="s">
        <v>12</v>
      </c>
      <c r="E617" s="1">
        <v>20</v>
      </c>
      <c r="F617" s="1">
        <v>150</v>
      </c>
      <c r="G617" s="1">
        <v>3000</v>
      </c>
      <c r="H617" s="1">
        <v>0.04</v>
      </c>
      <c r="I617" s="1">
        <v>120</v>
      </c>
      <c r="J617" t="s">
        <v>39</v>
      </c>
    </row>
    <row r="618" spans="1:10" x14ac:dyDescent="0.35">
      <c r="A618" t="s">
        <v>648</v>
      </c>
      <c r="B618" s="2">
        <v>43307</v>
      </c>
      <c r="C618" t="s">
        <v>11</v>
      </c>
      <c r="D618" t="s">
        <v>31</v>
      </c>
      <c r="E618" s="1">
        <v>22</v>
      </c>
      <c r="F618" s="1">
        <v>80</v>
      </c>
      <c r="G618" s="1">
        <v>1760</v>
      </c>
      <c r="H618" s="1">
        <v>0.1</v>
      </c>
      <c r="I618" s="1">
        <v>176</v>
      </c>
      <c r="J618" t="s">
        <v>32</v>
      </c>
    </row>
    <row r="619" spans="1:10" x14ac:dyDescent="0.35">
      <c r="A619" t="s">
        <v>649</v>
      </c>
      <c r="B619" s="2">
        <v>43307</v>
      </c>
      <c r="C619" t="s">
        <v>19</v>
      </c>
      <c r="D619" t="s">
        <v>31</v>
      </c>
      <c r="E619" s="1">
        <v>20</v>
      </c>
      <c r="F619" s="1">
        <v>230</v>
      </c>
      <c r="G619" s="1">
        <v>4600</v>
      </c>
      <c r="H619" s="1">
        <v>0.09</v>
      </c>
      <c r="I619" s="1">
        <v>414</v>
      </c>
      <c r="J619" t="s">
        <v>35</v>
      </c>
    </row>
    <row r="620" spans="1:10" x14ac:dyDescent="0.35">
      <c r="A620" t="s">
        <v>650</v>
      </c>
      <c r="B620" s="2">
        <v>43307</v>
      </c>
      <c r="C620" t="s">
        <v>19</v>
      </c>
      <c r="D620" t="s">
        <v>24</v>
      </c>
      <c r="E620" s="1">
        <v>12</v>
      </c>
      <c r="F620" s="1">
        <v>230</v>
      </c>
      <c r="G620" s="1">
        <v>2760</v>
      </c>
      <c r="H620" s="1">
        <v>0.03</v>
      </c>
      <c r="I620" s="1">
        <v>83</v>
      </c>
      <c r="J620" t="s">
        <v>37</v>
      </c>
    </row>
    <row r="621" spans="1:10" x14ac:dyDescent="0.35">
      <c r="A621" t="s">
        <v>651</v>
      </c>
      <c r="B621" s="2">
        <v>43308</v>
      </c>
      <c r="C621" t="s">
        <v>11</v>
      </c>
      <c r="D621" t="s">
        <v>12</v>
      </c>
      <c r="E621" s="1">
        <v>21</v>
      </c>
      <c r="F621" s="1">
        <v>80</v>
      </c>
      <c r="G621" s="1">
        <v>1680</v>
      </c>
      <c r="H621" s="1">
        <v>0.04</v>
      </c>
      <c r="I621" s="1">
        <v>67</v>
      </c>
      <c r="J621" t="s">
        <v>39</v>
      </c>
    </row>
    <row r="622" spans="1:10" x14ac:dyDescent="0.35">
      <c r="A622" t="s">
        <v>652</v>
      </c>
      <c r="B622" s="2">
        <v>43308</v>
      </c>
      <c r="C622" t="s">
        <v>15</v>
      </c>
      <c r="D622" t="s">
        <v>16</v>
      </c>
      <c r="E622" s="1">
        <v>15</v>
      </c>
      <c r="F622" s="1">
        <v>40</v>
      </c>
      <c r="G622" s="1">
        <v>600</v>
      </c>
      <c r="H622" s="1">
        <v>0.04</v>
      </c>
      <c r="I622" s="1">
        <v>24</v>
      </c>
      <c r="J622" t="s">
        <v>32</v>
      </c>
    </row>
    <row r="623" spans="1:10" x14ac:dyDescent="0.35">
      <c r="A623" t="s">
        <v>653</v>
      </c>
      <c r="B623" s="2">
        <v>43308</v>
      </c>
      <c r="C623" t="s">
        <v>11</v>
      </c>
      <c r="D623" t="s">
        <v>27</v>
      </c>
      <c r="E623" s="1">
        <v>16</v>
      </c>
      <c r="F623" s="1">
        <v>80</v>
      </c>
      <c r="G623" s="1">
        <v>1280</v>
      </c>
      <c r="H623" s="1">
        <v>0.1</v>
      </c>
      <c r="I623" s="1">
        <v>128</v>
      </c>
      <c r="J623" t="s">
        <v>35</v>
      </c>
    </row>
    <row r="624" spans="1:10" x14ac:dyDescent="0.35">
      <c r="A624" t="s">
        <v>654</v>
      </c>
      <c r="B624" s="2">
        <v>43308</v>
      </c>
      <c r="C624" t="s">
        <v>19</v>
      </c>
      <c r="D624" t="s">
        <v>31</v>
      </c>
      <c r="E624" s="1">
        <v>17</v>
      </c>
      <c r="F624" s="1">
        <v>230</v>
      </c>
      <c r="G624" s="1">
        <v>3910</v>
      </c>
      <c r="H624" s="1">
        <v>0.11</v>
      </c>
      <c r="I624" s="1">
        <v>430</v>
      </c>
      <c r="J624" t="s">
        <v>37</v>
      </c>
    </row>
    <row r="625" spans="1:10" x14ac:dyDescent="0.35">
      <c r="A625" t="s">
        <v>655</v>
      </c>
      <c r="B625" s="2">
        <v>43308</v>
      </c>
      <c r="C625" t="s">
        <v>19</v>
      </c>
      <c r="D625" t="s">
        <v>31</v>
      </c>
      <c r="E625" s="1">
        <v>5</v>
      </c>
      <c r="F625" s="1">
        <v>230</v>
      </c>
      <c r="G625" s="1">
        <v>1150</v>
      </c>
      <c r="H625" s="1">
        <v>0.12</v>
      </c>
      <c r="I625" s="1">
        <v>138</v>
      </c>
      <c r="J625" t="s">
        <v>39</v>
      </c>
    </row>
    <row r="626" spans="1:10" x14ac:dyDescent="0.35">
      <c r="A626" t="s">
        <v>656</v>
      </c>
      <c r="B626" s="2">
        <v>43308</v>
      </c>
      <c r="C626" t="s">
        <v>30</v>
      </c>
      <c r="D626" t="s">
        <v>12</v>
      </c>
      <c r="E626" s="1">
        <v>20</v>
      </c>
      <c r="F626" s="1">
        <v>16</v>
      </c>
      <c r="G626" s="1">
        <v>320</v>
      </c>
      <c r="H626" s="1">
        <v>0.01</v>
      </c>
      <c r="I626" s="1">
        <v>3</v>
      </c>
      <c r="J626" t="s">
        <v>32</v>
      </c>
    </row>
    <row r="627" spans="1:10" x14ac:dyDescent="0.35">
      <c r="A627" t="s">
        <v>657</v>
      </c>
      <c r="B627" s="2">
        <v>43308</v>
      </c>
      <c r="C627" t="s">
        <v>19</v>
      </c>
      <c r="D627" t="s">
        <v>12</v>
      </c>
      <c r="E627" s="1">
        <v>5</v>
      </c>
      <c r="F627" s="1">
        <v>230</v>
      </c>
      <c r="G627" s="1">
        <v>1150</v>
      </c>
      <c r="H627" s="1">
        <v>0.1</v>
      </c>
      <c r="I627" s="1">
        <v>115</v>
      </c>
      <c r="J627" t="s">
        <v>35</v>
      </c>
    </row>
    <row r="628" spans="1:10" x14ac:dyDescent="0.35">
      <c r="A628" t="s">
        <v>658</v>
      </c>
      <c r="B628" s="2">
        <v>43308</v>
      </c>
      <c r="C628" t="s">
        <v>15</v>
      </c>
      <c r="D628" t="s">
        <v>16</v>
      </c>
      <c r="E628" s="1">
        <v>8</v>
      </c>
      <c r="F628" s="1">
        <v>40</v>
      </c>
      <c r="G628" s="1">
        <v>320</v>
      </c>
      <c r="H628" s="1">
        <v>0.09</v>
      </c>
      <c r="I628" s="1">
        <v>29</v>
      </c>
      <c r="J628" t="s">
        <v>37</v>
      </c>
    </row>
    <row r="629" spans="1:10" x14ac:dyDescent="0.35">
      <c r="A629" t="s">
        <v>659</v>
      </c>
      <c r="B629" s="2">
        <v>43308</v>
      </c>
      <c r="C629" t="s">
        <v>30</v>
      </c>
      <c r="D629" t="s">
        <v>12</v>
      </c>
      <c r="E629" s="1">
        <v>7</v>
      </c>
      <c r="F629" s="1">
        <v>16</v>
      </c>
      <c r="G629" s="1">
        <v>112</v>
      </c>
      <c r="H629" s="1">
        <v>0.02</v>
      </c>
      <c r="I629" s="1">
        <v>2</v>
      </c>
      <c r="J629" t="s">
        <v>39</v>
      </c>
    </row>
    <row r="630" spans="1:10" x14ac:dyDescent="0.35">
      <c r="A630" t="s">
        <v>660</v>
      </c>
      <c r="B630" s="2">
        <v>43308</v>
      </c>
      <c r="C630" t="s">
        <v>34</v>
      </c>
      <c r="D630" t="s">
        <v>27</v>
      </c>
      <c r="E630" s="1">
        <v>15</v>
      </c>
      <c r="F630" s="1">
        <v>150</v>
      </c>
      <c r="G630" s="1">
        <v>2250</v>
      </c>
      <c r="H630" s="1">
        <v>0.08</v>
      </c>
      <c r="I630" s="1">
        <v>180</v>
      </c>
      <c r="J630" t="s">
        <v>32</v>
      </c>
    </row>
    <row r="631" spans="1:10" x14ac:dyDescent="0.35">
      <c r="A631" t="s">
        <v>661</v>
      </c>
      <c r="B631" s="2">
        <v>43308</v>
      </c>
      <c r="C631" t="s">
        <v>19</v>
      </c>
      <c r="D631" t="s">
        <v>31</v>
      </c>
      <c r="E631" s="1">
        <v>20</v>
      </c>
      <c r="F631" s="1">
        <v>230</v>
      </c>
      <c r="G631" s="1">
        <v>4600</v>
      </c>
      <c r="H631" s="1">
        <v>0.11</v>
      </c>
      <c r="I631" s="1">
        <v>506</v>
      </c>
      <c r="J631" t="s">
        <v>35</v>
      </c>
    </row>
    <row r="632" spans="1:10" x14ac:dyDescent="0.35">
      <c r="A632" t="s">
        <v>662</v>
      </c>
      <c r="B632" s="2">
        <v>43308</v>
      </c>
      <c r="C632" t="s">
        <v>30</v>
      </c>
      <c r="D632" t="s">
        <v>16</v>
      </c>
      <c r="E632" s="1">
        <v>4</v>
      </c>
      <c r="F632" s="1">
        <v>16</v>
      </c>
      <c r="G632" s="1">
        <v>64</v>
      </c>
      <c r="H632" s="1">
        <v>0.09</v>
      </c>
      <c r="I632" s="1">
        <v>6</v>
      </c>
      <c r="J632" t="s">
        <v>37</v>
      </c>
    </row>
    <row r="633" spans="1:10" x14ac:dyDescent="0.35">
      <c r="A633" t="s">
        <v>663</v>
      </c>
      <c r="B633" s="2">
        <v>43308</v>
      </c>
      <c r="C633" t="s">
        <v>15</v>
      </c>
      <c r="D633" t="s">
        <v>27</v>
      </c>
      <c r="E633" s="1">
        <v>11</v>
      </c>
      <c r="F633" s="1">
        <v>40</v>
      </c>
      <c r="G633" s="1">
        <v>440</v>
      </c>
      <c r="H633" s="1">
        <v>0.09</v>
      </c>
      <c r="I633" s="1">
        <v>40</v>
      </c>
      <c r="J633" t="s">
        <v>39</v>
      </c>
    </row>
    <row r="634" spans="1:10" x14ac:dyDescent="0.35">
      <c r="A634" t="s">
        <v>664</v>
      </c>
      <c r="B634" s="2">
        <v>43308</v>
      </c>
      <c r="C634" t="s">
        <v>34</v>
      </c>
      <c r="D634" t="s">
        <v>24</v>
      </c>
      <c r="E634" s="1">
        <v>15</v>
      </c>
      <c r="F634" s="1">
        <v>150</v>
      </c>
      <c r="G634" s="1">
        <v>2250</v>
      </c>
      <c r="H634" s="1">
        <v>0.05</v>
      </c>
      <c r="I634" s="1">
        <v>112</v>
      </c>
      <c r="J634" t="s">
        <v>32</v>
      </c>
    </row>
    <row r="635" spans="1:10" x14ac:dyDescent="0.35">
      <c r="A635" t="s">
        <v>665</v>
      </c>
      <c r="B635" s="2">
        <v>43308</v>
      </c>
      <c r="C635" t="s">
        <v>19</v>
      </c>
      <c r="D635" t="s">
        <v>24</v>
      </c>
      <c r="E635" s="1">
        <v>5</v>
      </c>
      <c r="F635" s="1">
        <v>230</v>
      </c>
      <c r="G635" s="1">
        <v>1150</v>
      </c>
      <c r="H635" s="1">
        <v>0.01</v>
      </c>
      <c r="I635" s="1">
        <v>12</v>
      </c>
      <c r="J635" t="s">
        <v>35</v>
      </c>
    </row>
    <row r="636" spans="1:10" x14ac:dyDescent="0.35">
      <c r="A636" t="s">
        <v>666</v>
      </c>
      <c r="B636" s="2">
        <v>43308</v>
      </c>
      <c r="C636" t="s">
        <v>19</v>
      </c>
      <c r="D636" t="s">
        <v>24</v>
      </c>
      <c r="E636" s="1">
        <v>14</v>
      </c>
      <c r="F636" s="1">
        <v>230</v>
      </c>
      <c r="G636" s="1">
        <v>3220</v>
      </c>
      <c r="H636" s="1">
        <v>0.03</v>
      </c>
      <c r="I636" s="1">
        <v>97</v>
      </c>
      <c r="J636" t="s">
        <v>37</v>
      </c>
    </row>
    <row r="637" spans="1:10" x14ac:dyDescent="0.35">
      <c r="A637" t="s">
        <v>667</v>
      </c>
      <c r="B637" s="2">
        <v>43308</v>
      </c>
      <c r="C637" t="s">
        <v>15</v>
      </c>
      <c r="D637" t="s">
        <v>31</v>
      </c>
      <c r="E637" s="1">
        <v>23</v>
      </c>
      <c r="F637" s="1">
        <v>40</v>
      </c>
      <c r="G637" s="1">
        <v>920</v>
      </c>
      <c r="H637" s="1">
        <v>0.05</v>
      </c>
      <c r="I637" s="1">
        <v>46</v>
      </c>
      <c r="J637" t="s">
        <v>39</v>
      </c>
    </row>
    <row r="638" spans="1:10" x14ac:dyDescent="0.35">
      <c r="A638" t="s">
        <v>668</v>
      </c>
      <c r="B638" s="2">
        <v>43308</v>
      </c>
      <c r="C638" t="s">
        <v>11</v>
      </c>
      <c r="D638" t="s">
        <v>27</v>
      </c>
      <c r="E638" s="1">
        <v>22</v>
      </c>
      <c r="F638" s="1">
        <v>80</v>
      </c>
      <c r="G638" s="1">
        <v>1760</v>
      </c>
      <c r="H638" s="1">
        <v>0.03</v>
      </c>
      <c r="I638" s="1">
        <v>53</v>
      </c>
      <c r="J638" t="s">
        <v>32</v>
      </c>
    </row>
    <row r="639" spans="1:10" x14ac:dyDescent="0.35">
      <c r="A639" t="s">
        <v>669</v>
      </c>
      <c r="B639" s="2">
        <v>43309</v>
      </c>
      <c r="C639" t="s">
        <v>19</v>
      </c>
      <c r="D639" t="s">
        <v>24</v>
      </c>
      <c r="E639" s="1">
        <v>20</v>
      </c>
      <c r="F639" s="1">
        <v>230</v>
      </c>
      <c r="G639" s="1">
        <v>4600</v>
      </c>
      <c r="H639" s="1">
        <v>0.06</v>
      </c>
      <c r="I639" s="1">
        <v>276</v>
      </c>
      <c r="J639" t="s">
        <v>35</v>
      </c>
    </row>
    <row r="640" spans="1:10" x14ac:dyDescent="0.35">
      <c r="A640" t="s">
        <v>670</v>
      </c>
      <c r="B640" s="2">
        <v>43309</v>
      </c>
      <c r="C640" t="s">
        <v>19</v>
      </c>
      <c r="D640" t="s">
        <v>16</v>
      </c>
      <c r="E640" s="1">
        <v>15</v>
      </c>
      <c r="F640" s="1">
        <v>230</v>
      </c>
      <c r="G640" s="1">
        <v>3450</v>
      </c>
      <c r="H640" s="1">
        <v>0.09</v>
      </c>
      <c r="I640" s="1">
        <v>310</v>
      </c>
      <c r="J640" t="s">
        <v>37</v>
      </c>
    </row>
    <row r="641" spans="1:10" x14ac:dyDescent="0.35">
      <c r="A641" t="s">
        <v>671</v>
      </c>
      <c r="B641" s="2">
        <v>43309</v>
      </c>
      <c r="C641" t="s">
        <v>34</v>
      </c>
      <c r="D641" t="s">
        <v>24</v>
      </c>
      <c r="E641" s="1">
        <v>18</v>
      </c>
      <c r="F641" s="1">
        <v>150</v>
      </c>
      <c r="G641" s="1">
        <v>2700</v>
      </c>
      <c r="H641" s="1">
        <v>0.06</v>
      </c>
      <c r="I641" s="1">
        <v>162</v>
      </c>
      <c r="J641" t="s">
        <v>39</v>
      </c>
    </row>
    <row r="642" spans="1:10" x14ac:dyDescent="0.35">
      <c r="A642" t="s">
        <v>672</v>
      </c>
      <c r="B642" s="2">
        <v>43309</v>
      </c>
      <c r="C642" t="s">
        <v>19</v>
      </c>
      <c r="D642" t="s">
        <v>12</v>
      </c>
      <c r="E642" s="1">
        <v>3</v>
      </c>
      <c r="F642" s="1">
        <v>230</v>
      </c>
      <c r="G642" s="1">
        <v>690</v>
      </c>
      <c r="H642" s="1">
        <v>0.11</v>
      </c>
      <c r="I642" s="1">
        <v>76</v>
      </c>
      <c r="J642" t="s">
        <v>32</v>
      </c>
    </row>
    <row r="643" spans="1:10" x14ac:dyDescent="0.35">
      <c r="A643" t="s">
        <v>673</v>
      </c>
      <c r="B643" s="2">
        <v>43309</v>
      </c>
      <c r="C643" t="s">
        <v>34</v>
      </c>
      <c r="D643" t="s">
        <v>31</v>
      </c>
      <c r="E643" s="1">
        <v>11</v>
      </c>
      <c r="F643" s="1">
        <v>150</v>
      </c>
      <c r="G643" s="1">
        <v>1650</v>
      </c>
      <c r="H643" s="1">
        <v>0.09</v>
      </c>
      <c r="I643" s="1">
        <v>148</v>
      </c>
      <c r="J643" t="s">
        <v>35</v>
      </c>
    </row>
    <row r="644" spans="1:10" x14ac:dyDescent="0.35">
      <c r="A644" t="s">
        <v>674</v>
      </c>
      <c r="B644" s="2">
        <v>43309</v>
      </c>
      <c r="C644" t="s">
        <v>19</v>
      </c>
      <c r="D644" t="s">
        <v>12</v>
      </c>
      <c r="E644" s="1">
        <v>11</v>
      </c>
      <c r="F644" s="1">
        <v>230</v>
      </c>
      <c r="G644" s="1">
        <v>2530</v>
      </c>
      <c r="H644" s="1">
        <v>0.02</v>
      </c>
      <c r="I644" s="1">
        <v>51</v>
      </c>
      <c r="J644" t="s">
        <v>37</v>
      </c>
    </row>
    <row r="645" spans="1:10" x14ac:dyDescent="0.35">
      <c r="A645" t="s">
        <v>675</v>
      </c>
      <c r="B645" s="2">
        <v>43309</v>
      </c>
      <c r="C645" t="s">
        <v>19</v>
      </c>
      <c r="D645" t="s">
        <v>31</v>
      </c>
      <c r="E645" s="1">
        <v>13</v>
      </c>
      <c r="F645" s="1">
        <v>230</v>
      </c>
      <c r="G645" s="1">
        <v>2990</v>
      </c>
      <c r="H645" s="1">
        <v>0.06</v>
      </c>
      <c r="I645" s="1">
        <v>179</v>
      </c>
      <c r="J645" t="s">
        <v>39</v>
      </c>
    </row>
    <row r="646" spans="1:10" x14ac:dyDescent="0.35">
      <c r="A646" t="s">
        <v>676</v>
      </c>
      <c r="B646" s="2">
        <v>43310</v>
      </c>
      <c r="C646" t="s">
        <v>11</v>
      </c>
      <c r="D646" t="s">
        <v>27</v>
      </c>
      <c r="E646" s="1">
        <v>11</v>
      </c>
      <c r="F646" s="1">
        <v>80</v>
      </c>
      <c r="G646" s="1">
        <v>880</v>
      </c>
      <c r="H646" s="1">
        <v>0.01</v>
      </c>
      <c r="I646" s="1">
        <v>9</v>
      </c>
      <c r="J646" t="s">
        <v>32</v>
      </c>
    </row>
    <row r="647" spans="1:10" x14ac:dyDescent="0.35">
      <c r="A647" t="s">
        <v>677</v>
      </c>
      <c r="B647" s="2">
        <v>43310</v>
      </c>
      <c r="C647" t="s">
        <v>11</v>
      </c>
      <c r="D647" t="s">
        <v>31</v>
      </c>
      <c r="E647" s="1">
        <v>17</v>
      </c>
      <c r="F647" s="1">
        <v>80</v>
      </c>
      <c r="G647" s="1">
        <v>1360</v>
      </c>
      <c r="H647" s="1">
        <v>7.0000000000000007E-2</v>
      </c>
      <c r="I647" s="1">
        <v>95</v>
      </c>
      <c r="J647" t="s">
        <v>35</v>
      </c>
    </row>
    <row r="648" spans="1:10" x14ac:dyDescent="0.35">
      <c r="A648" t="s">
        <v>678</v>
      </c>
      <c r="B648" s="2">
        <v>43310</v>
      </c>
      <c r="C648" t="s">
        <v>34</v>
      </c>
      <c r="D648" t="s">
        <v>31</v>
      </c>
      <c r="E648" s="1">
        <v>15</v>
      </c>
      <c r="F648" s="1">
        <v>150</v>
      </c>
      <c r="G648" s="1">
        <v>2250</v>
      </c>
      <c r="H648" s="1">
        <v>7.0000000000000007E-2</v>
      </c>
      <c r="I648" s="1">
        <v>158</v>
      </c>
      <c r="J648" t="s">
        <v>37</v>
      </c>
    </row>
    <row r="649" spans="1:10" x14ac:dyDescent="0.35">
      <c r="A649" t="s">
        <v>679</v>
      </c>
      <c r="B649" s="2">
        <v>43310</v>
      </c>
      <c r="C649" t="s">
        <v>30</v>
      </c>
      <c r="D649" t="s">
        <v>31</v>
      </c>
      <c r="E649" s="1">
        <v>14</v>
      </c>
      <c r="F649" s="1">
        <v>16</v>
      </c>
      <c r="G649" s="1">
        <v>224</v>
      </c>
      <c r="H649" s="1">
        <v>0.06</v>
      </c>
      <c r="I649" s="1">
        <v>13</v>
      </c>
      <c r="J649" t="s">
        <v>39</v>
      </c>
    </row>
    <row r="650" spans="1:10" x14ac:dyDescent="0.35">
      <c r="A650" t="s">
        <v>680</v>
      </c>
      <c r="B650" s="2">
        <v>43310</v>
      </c>
      <c r="C650" t="s">
        <v>30</v>
      </c>
      <c r="D650" t="s">
        <v>16</v>
      </c>
      <c r="E650" s="1">
        <v>4</v>
      </c>
      <c r="F650" s="1">
        <v>16</v>
      </c>
      <c r="G650" s="1">
        <v>64</v>
      </c>
      <c r="H650" s="1">
        <v>7.0000000000000007E-2</v>
      </c>
      <c r="I650" s="1">
        <v>4</v>
      </c>
      <c r="J650" t="s">
        <v>32</v>
      </c>
    </row>
    <row r="651" spans="1:10" x14ac:dyDescent="0.35">
      <c r="A651" t="s">
        <v>681</v>
      </c>
      <c r="B651" s="2">
        <v>43310</v>
      </c>
      <c r="C651" t="s">
        <v>34</v>
      </c>
      <c r="D651" t="s">
        <v>31</v>
      </c>
      <c r="E651" s="1">
        <v>23</v>
      </c>
      <c r="F651" s="1">
        <v>150</v>
      </c>
      <c r="G651" s="1">
        <v>3450</v>
      </c>
      <c r="H651" s="1">
        <v>0.08</v>
      </c>
      <c r="I651" s="1">
        <v>276</v>
      </c>
      <c r="J651" t="s">
        <v>35</v>
      </c>
    </row>
    <row r="652" spans="1:10" x14ac:dyDescent="0.35">
      <c r="A652" t="s">
        <v>682</v>
      </c>
      <c r="B652" s="2">
        <v>43310</v>
      </c>
      <c r="C652" t="s">
        <v>11</v>
      </c>
      <c r="D652" t="s">
        <v>24</v>
      </c>
      <c r="E652" s="1">
        <v>10</v>
      </c>
      <c r="F652" s="1">
        <v>80</v>
      </c>
      <c r="G652" s="1">
        <v>800</v>
      </c>
      <c r="H652" s="1">
        <v>0.11</v>
      </c>
      <c r="I652" s="1">
        <v>88</v>
      </c>
      <c r="J652" t="s">
        <v>37</v>
      </c>
    </row>
    <row r="653" spans="1:10" x14ac:dyDescent="0.35">
      <c r="A653" t="s">
        <v>683</v>
      </c>
      <c r="B653" s="2">
        <v>43310</v>
      </c>
      <c r="C653" t="s">
        <v>19</v>
      </c>
      <c r="D653" t="s">
        <v>24</v>
      </c>
      <c r="E653" s="1">
        <v>7</v>
      </c>
      <c r="F653" s="1">
        <v>230</v>
      </c>
      <c r="G653" s="1">
        <v>1610</v>
      </c>
      <c r="H653" s="1">
        <v>0.01</v>
      </c>
      <c r="I653" s="1">
        <v>16</v>
      </c>
      <c r="J653" t="s">
        <v>39</v>
      </c>
    </row>
    <row r="654" spans="1:10" x14ac:dyDescent="0.35">
      <c r="A654" t="s">
        <v>684</v>
      </c>
      <c r="B654" s="2">
        <v>43310</v>
      </c>
      <c r="C654" t="s">
        <v>19</v>
      </c>
      <c r="D654" t="s">
        <v>12</v>
      </c>
      <c r="E654" s="1">
        <v>16</v>
      </c>
      <c r="F654" s="1">
        <v>230</v>
      </c>
      <c r="G654" s="1">
        <v>3680</v>
      </c>
      <c r="H654" s="1">
        <v>7.0000000000000007E-2</v>
      </c>
      <c r="I654" s="1">
        <v>258</v>
      </c>
      <c r="J654" t="s">
        <v>32</v>
      </c>
    </row>
    <row r="655" spans="1:10" x14ac:dyDescent="0.35">
      <c r="A655" t="s">
        <v>685</v>
      </c>
      <c r="B655" s="2">
        <v>43310</v>
      </c>
      <c r="C655" t="s">
        <v>30</v>
      </c>
      <c r="D655" t="s">
        <v>31</v>
      </c>
      <c r="E655" s="1">
        <v>17</v>
      </c>
      <c r="F655" s="1">
        <v>16</v>
      </c>
      <c r="G655" s="1">
        <v>272</v>
      </c>
      <c r="H655" s="1">
        <v>0.08</v>
      </c>
      <c r="I655" s="1">
        <v>22</v>
      </c>
      <c r="J655" t="s">
        <v>35</v>
      </c>
    </row>
    <row r="656" spans="1:10" x14ac:dyDescent="0.35">
      <c r="A656" t="s">
        <v>686</v>
      </c>
      <c r="B656" s="2">
        <v>43311</v>
      </c>
      <c r="C656" t="s">
        <v>11</v>
      </c>
      <c r="D656" t="s">
        <v>31</v>
      </c>
      <c r="E656" s="1">
        <v>6</v>
      </c>
      <c r="F656" s="1">
        <v>80</v>
      </c>
      <c r="G656" s="1">
        <v>480</v>
      </c>
      <c r="H656" s="1">
        <v>0.09</v>
      </c>
      <c r="I656" s="1">
        <v>43</v>
      </c>
      <c r="J656" t="s">
        <v>37</v>
      </c>
    </row>
    <row r="657" spans="1:10" x14ac:dyDescent="0.35">
      <c r="A657" t="s">
        <v>687</v>
      </c>
      <c r="B657" s="2">
        <v>43311</v>
      </c>
      <c r="C657" t="s">
        <v>34</v>
      </c>
      <c r="D657" t="s">
        <v>24</v>
      </c>
      <c r="E657" s="1">
        <v>22</v>
      </c>
      <c r="F657" s="1">
        <v>150</v>
      </c>
      <c r="G657" s="1">
        <v>3300</v>
      </c>
      <c r="H657" s="1">
        <v>0.04</v>
      </c>
      <c r="I657" s="1">
        <v>132</v>
      </c>
      <c r="J657" t="s">
        <v>39</v>
      </c>
    </row>
    <row r="658" spans="1:10" x14ac:dyDescent="0.35">
      <c r="A658" t="s">
        <v>688</v>
      </c>
      <c r="B658" s="2">
        <v>43311</v>
      </c>
      <c r="C658" t="s">
        <v>15</v>
      </c>
      <c r="D658" t="s">
        <v>31</v>
      </c>
      <c r="E658" s="1">
        <v>20</v>
      </c>
      <c r="F658" s="1">
        <v>40</v>
      </c>
      <c r="G658" s="1">
        <v>800</v>
      </c>
      <c r="H658" s="1">
        <v>0.03</v>
      </c>
      <c r="I658" s="1">
        <v>24</v>
      </c>
      <c r="J658" t="s">
        <v>32</v>
      </c>
    </row>
    <row r="659" spans="1:10" x14ac:dyDescent="0.35">
      <c r="A659" t="s">
        <v>689</v>
      </c>
      <c r="B659" s="2">
        <v>43311</v>
      </c>
      <c r="C659" t="s">
        <v>34</v>
      </c>
      <c r="D659" t="s">
        <v>16</v>
      </c>
      <c r="E659" s="1">
        <v>16</v>
      </c>
      <c r="F659" s="1">
        <v>150</v>
      </c>
      <c r="G659" s="1">
        <v>2400</v>
      </c>
      <c r="H659" s="1">
        <v>0.08</v>
      </c>
      <c r="I659" s="1">
        <v>192</v>
      </c>
      <c r="J659" t="s">
        <v>35</v>
      </c>
    </row>
    <row r="660" spans="1:10" x14ac:dyDescent="0.35">
      <c r="A660" t="s">
        <v>690</v>
      </c>
      <c r="B660" s="2">
        <v>43311</v>
      </c>
      <c r="C660" t="s">
        <v>11</v>
      </c>
      <c r="D660" t="s">
        <v>16</v>
      </c>
      <c r="E660" s="1">
        <v>5</v>
      </c>
      <c r="F660" s="1">
        <v>80</v>
      </c>
      <c r="G660" s="1">
        <v>400</v>
      </c>
      <c r="H660" s="1">
        <v>7.0000000000000007E-2</v>
      </c>
      <c r="I660" s="1">
        <v>28</v>
      </c>
      <c r="J660" t="s">
        <v>37</v>
      </c>
    </row>
    <row r="661" spans="1:10" x14ac:dyDescent="0.35">
      <c r="A661" t="s">
        <v>691</v>
      </c>
      <c r="B661" s="2">
        <v>43311</v>
      </c>
      <c r="C661" t="s">
        <v>34</v>
      </c>
      <c r="D661" t="s">
        <v>27</v>
      </c>
      <c r="E661" s="1">
        <v>6</v>
      </c>
      <c r="F661" s="1">
        <v>150</v>
      </c>
      <c r="G661" s="1">
        <v>900</v>
      </c>
      <c r="H661" s="1">
        <v>0.03</v>
      </c>
      <c r="I661" s="1">
        <v>27</v>
      </c>
      <c r="J661" t="s">
        <v>39</v>
      </c>
    </row>
    <row r="662" spans="1:10" x14ac:dyDescent="0.35">
      <c r="A662" t="s">
        <v>692</v>
      </c>
      <c r="B662" s="2">
        <v>43312</v>
      </c>
      <c r="C662" t="s">
        <v>11</v>
      </c>
      <c r="D662" t="s">
        <v>16</v>
      </c>
      <c r="E662" s="1">
        <v>9</v>
      </c>
      <c r="F662" s="1">
        <v>80</v>
      </c>
      <c r="G662" s="1">
        <v>720</v>
      </c>
      <c r="H662" s="1">
        <v>0.03</v>
      </c>
      <c r="I662" s="1">
        <v>22</v>
      </c>
      <c r="J662" t="s">
        <v>32</v>
      </c>
    </row>
    <row r="663" spans="1:10" x14ac:dyDescent="0.35">
      <c r="A663" t="s">
        <v>693</v>
      </c>
      <c r="B663" s="2">
        <v>43312</v>
      </c>
      <c r="C663" t="s">
        <v>11</v>
      </c>
      <c r="D663" t="s">
        <v>12</v>
      </c>
      <c r="E663" s="1">
        <v>8</v>
      </c>
      <c r="F663" s="1">
        <v>80</v>
      </c>
      <c r="G663" s="1">
        <v>640</v>
      </c>
      <c r="H663" s="1">
        <v>0.08</v>
      </c>
      <c r="I663" s="1">
        <v>51</v>
      </c>
      <c r="J663" t="s">
        <v>35</v>
      </c>
    </row>
    <row r="664" spans="1:10" x14ac:dyDescent="0.35">
      <c r="A664" t="s">
        <v>694</v>
      </c>
      <c r="B664" s="2">
        <v>43312</v>
      </c>
      <c r="C664" t="s">
        <v>19</v>
      </c>
      <c r="D664" t="s">
        <v>27</v>
      </c>
      <c r="E664" s="1">
        <v>8</v>
      </c>
      <c r="F664" s="1">
        <v>230</v>
      </c>
      <c r="G664" s="1">
        <v>1840</v>
      </c>
      <c r="H664" s="1">
        <v>0.01</v>
      </c>
      <c r="I664" s="1">
        <v>18</v>
      </c>
      <c r="J664" t="s">
        <v>37</v>
      </c>
    </row>
    <row r="665" spans="1:10" x14ac:dyDescent="0.35">
      <c r="A665" t="s">
        <v>695</v>
      </c>
      <c r="B665" s="2">
        <v>43312</v>
      </c>
      <c r="C665" t="s">
        <v>30</v>
      </c>
      <c r="D665" t="s">
        <v>31</v>
      </c>
      <c r="E665" s="1">
        <v>12</v>
      </c>
      <c r="F665" s="1">
        <v>16</v>
      </c>
      <c r="G665" s="1">
        <v>192</v>
      </c>
      <c r="H665" s="1">
        <v>0.04</v>
      </c>
      <c r="I665" s="1">
        <v>8</v>
      </c>
      <c r="J665" t="s">
        <v>39</v>
      </c>
    </row>
    <row r="666" spans="1:10" x14ac:dyDescent="0.35">
      <c r="A666" t="s">
        <v>696</v>
      </c>
      <c r="B666" s="2">
        <v>43312</v>
      </c>
      <c r="C666" t="s">
        <v>30</v>
      </c>
      <c r="D666" t="s">
        <v>27</v>
      </c>
      <c r="E666" s="1">
        <v>18</v>
      </c>
      <c r="F666" s="1">
        <v>16</v>
      </c>
      <c r="G666" s="1">
        <v>288</v>
      </c>
      <c r="H666" s="1">
        <v>0.04</v>
      </c>
      <c r="I666" s="1">
        <v>12</v>
      </c>
      <c r="J666" t="s">
        <v>32</v>
      </c>
    </row>
    <row r="667" spans="1:10" x14ac:dyDescent="0.35">
      <c r="A667" t="s">
        <v>697</v>
      </c>
      <c r="B667" s="2">
        <v>43282</v>
      </c>
      <c r="C667" t="s">
        <v>30</v>
      </c>
      <c r="D667" t="s">
        <v>27</v>
      </c>
      <c r="E667" s="1">
        <v>10</v>
      </c>
      <c r="F667" s="1">
        <v>16</v>
      </c>
      <c r="G667" s="1">
        <v>160</v>
      </c>
      <c r="H667" s="1">
        <v>0.01</v>
      </c>
      <c r="I667" s="1">
        <v>2</v>
      </c>
      <c r="J667" t="s">
        <v>35</v>
      </c>
    </row>
    <row r="668" spans="1:10" x14ac:dyDescent="0.35">
      <c r="A668" t="s">
        <v>698</v>
      </c>
      <c r="B668" s="2">
        <v>43282</v>
      </c>
      <c r="C668" t="s">
        <v>30</v>
      </c>
      <c r="D668" t="s">
        <v>27</v>
      </c>
      <c r="E668" s="1">
        <v>14</v>
      </c>
      <c r="F668" s="1">
        <v>16</v>
      </c>
      <c r="G668" s="1">
        <v>224</v>
      </c>
      <c r="H668" s="1">
        <v>0.12</v>
      </c>
      <c r="I668" s="1">
        <v>27</v>
      </c>
      <c r="J668" t="s">
        <v>37</v>
      </c>
    </row>
    <row r="669" spans="1:10" x14ac:dyDescent="0.35">
      <c r="A669" t="s">
        <v>699</v>
      </c>
      <c r="B669" s="2">
        <v>43282</v>
      </c>
      <c r="C669" t="s">
        <v>15</v>
      </c>
      <c r="D669" t="s">
        <v>24</v>
      </c>
      <c r="E669" s="1">
        <v>6</v>
      </c>
      <c r="F669" s="1">
        <v>40</v>
      </c>
      <c r="G669" s="1">
        <v>240</v>
      </c>
      <c r="H669" s="1">
        <v>0.06</v>
      </c>
      <c r="I669" s="1">
        <v>14</v>
      </c>
      <c r="J669" t="s">
        <v>39</v>
      </c>
    </row>
    <row r="670" spans="1:10" x14ac:dyDescent="0.35">
      <c r="A670" t="s">
        <v>700</v>
      </c>
      <c r="B670" s="2">
        <v>43282</v>
      </c>
      <c r="C670" t="s">
        <v>15</v>
      </c>
      <c r="D670" t="s">
        <v>27</v>
      </c>
      <c r="E670" s="1">
        <v>13</v>
      </c>
      <c r="F670" s="1">
        <v>40</v>
      </c>
      <c r="G670" s="1">
        <v>520</v>
      </c>
      <c r="H670" s="1">
        <v>0.09</v>
      </c>
      <c r="I670" s="1">
        <v>47</v>
      </c>
      <c r="J670" t="s">
        <v>32</v>
      </c>
    </row>
    <row r="671" spans="1:10" x14ac:dyDescent="0.35">
      <c r="A671" t="s">
        <v>701</v>
      </c>
      <c r="B671" s="2">
        <v>43282</v>
      </c>
      <c r="C671" t="s">
        <v>30</v>
      </c>
      <c r="D671" t="s">
        <v>27</v>
      </c>
      <c r="E671" s="1">
        <v>10</v>
      </c>
      <c r="F671" s="1">
        <v>16</v>
      </c>
      <c r="G671" s="1">
        <v>160</v>
      </c>
      <c r="H671" s="1">
        <v>0.04</v>
      </c>
      <c r="I671" s="1">
        <v>6</v>
      </c>
      <c r="J671" t="s">
        <v>35</v>
      </c>
    </row>
    <row r="672" spans="1:10" x14ac:dyDescent="0.35">
      <c r="A672" t="s">
        <v>702</v>
      </c>
      <c r="B672" s="2">
        <v>43282</v>
      </c>
      <c r="C672" t="s">
        <v>11</v>
      </c>
      <c r="D672" t="s">
        <v>16</v>
      </c>
      <c r="E672" s="1">
        <v>14</v>
      </c>
      <c r="F672" s="1">
        <v>80</v>
      </c>
      <c r="G672" s="1">
        <v>1120</v>
      </c>
      <c r="H672" s="1">
        <v>0.11</v>
      </c>
      <c r="I672" s="1">
        <v>123</v>
      </c>
      <c r="J672" t="s">
        <v>37</v>
      </c>
    </row>
    <row r="673" spans="1:10" x14ac:dyDescent="0.35">
      <c r="A673" t="s">
        <v>703</v>
      </c>
      <c r="B673" s="2">
        <v>43282</v>
      </c>
      <c r="C673" t="s">
        <v>15</v>
      </c>
      <c r="D673" t="s">
        <v>16</v>
      </c>
      <c r="E673" s="1">
        <v>4</v>
      </c>
      <c r="F673" s="1">
        <v>40</v>
      </c>
      <c r="G673" s="1">
        <v>160</v>
      </c>
      <c r="H673" s="1">
        <v>0.06</v>
      </c>
      <c r="I673" s="1">
        <v>10</v>
      </c>
      <c r="J673" t="s">
        <v>39</v>
      </c>
    </row>
    <row r="674" spans="1:10" x14ac:dyDescent="0.35">
      <c r="A674" t="s">
        <v>704</v>
      </c>
      <c r="B674" s="2">
        <v>43282</v>
      </c>
      <c r="C674" t="s">
        <v>15</v>
      </c>
      <c r="D674" t="s">
        <v>24</v>
      </c>
      <c r="E674" s="1">
        <v>11</v>
      </c>
      <c r="F674" s="1">
        <v>40</v>
      </c>
      <c r="G674" s="1">
        <v>440</v>
      </c>
      <c r="H674" s="1">
        <v>0.05</v>
      </c>
      <c r="I674" s="1">
        <v>22</v>
      </c>
      <c r="J674" t="s">
        <v>32</v>
      </c>
    </row>
    <row r="675" spans="1:10" x14ac:dyDescent="0.35">
      <c r="A675" t="s">
        <v>705</v>
      </c>
      <c r="B675" s="2">
        <v>43282</v>
      </c>
      <c r="C675" t="s">
        <v>30</v>
      </c>
      <c r="D675" t="s">
        <v>24</v>
      </c>
      <c r="E675" s="1">
        <v>14</v>
      </c>
      <c r="F675" s="1">
        <v>16</v>
      </c>
      <c r="G675" s="1">
        <v>224</v>
      </c>
      <c r="H675" s="1">
        <v>0.01</v>
      </c>
      <c r="I675" s="1">
        <v>2</v>
      </c>
      <c r="J675" t="s">
        <v>35</v>
      </c>
    </row>
    <row r="676" spans="1:10" x14ac:dyDescent="0.35">
      <c r="A676" t="s">
        <v>706</v>
      </c>
      <c r="B676" s="2">
        <v>43282</v>
      </c>
      <c r="C676" t="s">
        <v>34</v>
      </c>
      <c r="D676" t="s">
        <v>12</v>
      </c>
      <c r="E676" s="1">
        <v>20</v>
      </c>
      <c r="F676" s="1">
        <v>150</v>
      </c>
      <c r="G676" s="1">
        <v>3000</v>
      </c>
      <c r="H676" s="1">
        <v>0.04</v>
      </c>
      <c r="I676" s="1">
        <v>120</v>
      </c>
      <c r="J676" t="s">
        <v>37</v>
      </c>
    </row>
    <row r="677" spans="1:10" x14ac:dyDescent="0.35">
      <c r="A677" t="s">
        <v>707</v>
      </c>
      <c r="B677" s="2">
        <v>43282</v>
      </c>
      <c r="C677" t="s">
        <v>15</v>
      </c>
      <c r="D677" t="s">
        <v>27</v>
      </c>
      <c r="E677" s="1">
        <v>9</v>
      </c>
      <c r="F677" s="1">
        <v>40</v>
      </c>
      <c r="G677" s="1">
        <v>360</v>
      </c>
      <c r="H677" s="1">
        <v>0.06</v>
      </c>
      <c r="I677" s="1">
        <v>22</v>
      </c>
      <c r="J677" t="s">
        <v>39</v>
      </c>
    </row>
    <row r="678" spans="1:10" x14ac:dyDescent="0.35">
      <c r="A678" t="s">
        <v>708</v>
      </c>
      <c r="B678" s="2">
        <v>43282</v>
      </c>
      <c r="C678" t="s">
        <v>34</v>
      </c>
      <c r="D678" t="s">
        <v>24</v>
      </c>
      <c r="E678" s="1">
        <v>18</v>
      </c>
      <c r="F678" s="1">
        <v>150</v>
      </c>
      <c r="G678" s="1">
        <v>2700</v>
      </c>
      <c r="H678" s="1">
        <v>0.06</v>
      </c>
      <c r="I678" s="1">
        <v>162</v>
      </c>
      <c r="J678" t="s">
        <v>32</v>
      </c>
    </row>
    <row r="679" spans="1:10" x14ac:dyDescent="0.35">
      <c r="A679" t="s">
        <v>709</v>
      </c>
      <c r="B679" s="2">
        <v>43282</v>
      </c>
      <c r="C679" t="s">
        <v>19</v>
      </c>
      <c r="D679" t="s">
        <v>31</v>
      </c>
      <c r="E679" s="1">
        <v>17</v>
      </c>
      <c r="F679" s="1">
        <v>230</v>
      </c>
      <c r="G679" s="1">
        <v>3910</v>
      </c>
      <c r="H679" s="1">
        <v>0.11</v>
      </c>
      <c r="I679" s="1">
        <v>430</v>
      </c>
      <c r="J679" t="s">
        <v>35</v>
      </c>
    </row>
    <row r="680" spans="1:10" x14ac:dyDescent="0.35">
      <c r="A680" t="s">
        <v>710</v>
      </c>
      <c r="B680" s="2">
        <v>43283</v>
      </c>
      <c r="C680" t="s">
        <v>15</v>
      </c>
      <c r="D680" t="s">
        <v>12</v>
      </c>
      <c r="E680" s="1">
        <v>20</v>
      </c>
      <c r="F680" s="1">
        <v>40</v>
      </c>
      <c r="G680" s="1">
        <v>800</v>
      </c>
      <c r="H680" s="1">
        <v>0.04</v>
      </c>
      <c r="I680" s="1">
        <v>32</v>
      </c>
      <c r="J680" t="s">
        <v>37</v>
      </c>
    </row>
    <row r="681" spans="1:10" x14ac:dyDescent="0.35">
      <c r="A681" t="s">
        <v>711</v>
      </c>
      <c r="B681" s="2">
        <v>43283</v>
      </c>
      <c r="C681" t="s">
        <v>15</v>
      </c>
      <c r="D681" t="s">
        <v>12</v>
      </c>
      <c r="E681" s="1">
        <v>23</v>
      </c>
      <c r="F681" s="1">
        <v>40</v>
      </c>
      <c r="G681" s="1">
        <v>920</v>
      </c>
      <c r="H681" s="1">
        <v>0.03</v>
      </c>
      <c r="I681" s="1">
        <v>28</v>
      </c>
      <c r="J681" t="s">
        <v>39</v>
      </c>
    </row>
    <row r="682" spans="1:10" x14ac:dyDescent="0.35">
      <c r="A682" t="s">
        <v>712</v>
      </c>
      <c r="B682" s="2">
        <v>43283</v>
      </c>
      <c r="C682" t="s">
        <v>19</v>
      </c>
      <c r="D682" t="s">
        <v>31</v>
      </c>
      <c r="E682" s="1">
        <v>21</v>
      </c>
      <c r="F682" s="1">
        <v>230</v>
      </c>
      <c r="G682" s="1">
        <v>4830</v>
      </c>
      <c r="H682" s="1">
        <v>0.05</v>
      </c>
      <c r="I682" s="1">
        <v>242</v>
      </c>
      <c r="J682" t="s">
        <v>32</v>
      </c>
    </row>
    <row r="683" spans="1:10" x14ac:dyDescent="0.35">
      <c r="A683" t="s">
        <v>713</v>
      </c>
      <c r="B683" s="2">
        <v>43283</v>
      </c>
      <c r="C683" t="s">
        <v>11</v>
      </c>
      <c r="D683" t="s">
        <v>24</v>
      </c>
      <c r="E683" s="1">
        <v>6</v>
      </c>
      <c r="F683" s="1">
        <v>80</v>
      </c>
      <c r="G683" s="1">
        <v>480</v>
      </c>
      <c r="H683" s="1">
        <v>0.09</v>
      </c>
      <c r="I683" s="1">
        <v>43</v>
      </c>
      <c r="J683" t="s">
        <v>35</v>
      </c>
    </row>
    <row r="684" spans="1:10" x14ac:dyDescent="0.35">
      <c r="A684" t="s">
        <v>714</v>
      </c>
      <c r="B684" s="2">
        <v>43283</v>
      </c>
      <c r="C684" t="s">
        <v>30</v>
      </c>
      <c r="D684" t="s">
        <v>12</v>
      </c>
      <c r="E684" s="1">
        <v>20</v>
      </c>
      <c r="F684" s="1">
        <v>16</v>
      </c>
      <c r="G684" s="1">
        <v>320</v>
      </c>
      <c r="H684" s="1">
        <v>0.01</v>
      </c>
      <c r="I684" s="1">
        <v>3</v>
      </c>
      <c r="J684" t="s">
        <v>37</v>
      </c>
    </row>
    <row r="685" spans="1:10" x14ac:dyDescent="0.35">
      <c r="A685" t="s">
        <v>715</v>
      </c>
      <c r="B685" s="2">
        <v>43283</v>
      </c>
      <c r="C685" t="s">
        <v>15</v>
      </c>
      <c r="D685" t="s">
        <v>16</v>
      </c>
      <c r="E685" s="1">
        <v>8</v>
      </c>
      <c r="F685" s="1">
        <v>40</v>
      </c>
      <c r="G685" s="1">
        <v>320</v>
      </c>
      <c r="H685" s="1">
        <v>0.09</v>
      </c>
      <c r="I685" s="1">
        <v>29</v>
      </c>
      <c r="J685" t="s">
        <v>39</v>
      </c>
    </row>
    <row r="686" spans="1:10" x14ac:dyDescent="0.35">
      <c r="A686" t="s">
        <v>716</v>
      </c>
      <c r="B686" s="2">
        <v>43283</v>
      </c>
      <c r="C686" t="s">
        <v>19</v>
      </c>
      <c r="D686" t="s">
        <v>16</v>
      </c>
      <c r="E686" s="1">
        <v>15</v>
      </c>
      <c r="F686" s="1">
        <v>230</v>
      </c>
      <c r="G686" s="1">
        <v>3450</v>
      </c>
      <c r="H686" s="1">
        <v>0.09</v>
      </c>
      <c r="I686" s="1">
        <v>310</v>
      </c>
      <c r="J686" t="s">
        <v>32</v>
      </c>
    </row>
    <row r="687" spans="1:10" x14ac:dyDescent="0.35">
      <c r="A687" t="s">
        <v>717</v>
      </c>
      <c r="B687" s="2">
        <v>43284</v>
      </c>
      <c r="C687" t="s">
        <v>11</v>
      </c>
      <c r="D687" t="s">
        <v>27</v>
      </c>
      <c r="E687" s="1">
        <v>21</v>
      </c>
      <c r="F687" s="1">
        <v>80</v>
      </c>
      <c r="G687" s="1">
        <v>1680</v>
      </c>
      <c r="H687" s="1">
        <v>0.02</v>
      </c>
      <c r="I687" s="1">
        <v>34</v>
      </c>
      <c r="J687" t="s">
        <v>35</v>
      </c>
    </row>
    <row r="688" spans="1:10" x14ac:dyDescent="0.35">
      <c r="A688" t="s">
        <v>718</v>
      </c>
      <c r="B688" s="2">
        <v>43284</v>
      </c>
      <c r="C688" t="s">
        <v>11</v>
      </c>
      <c r="D688" t="s">
        <v>27</v>
      </c>
      <c r="E688" s="1">
        <v>19</v>
      </c>
      <c r="F688" s="1">
        <v>80</v>
      </c>
      <c r="G688" s="1">
        <v>1520</v>
      </c>
      <c r="H688" s="1">
        <v>0.02</v>
      </c>
      <c r="I688" s="1">
        <v>30</v>
      </c>
      <c r="J688" t="s">
        <v>37</v>
      </c>
    </row>
    <row r="689" spans="1:10" x14ac:dyDescent="0.35">
      <c r="A689" t="s">
        <v>719</v>
      </c>
      <c r="B689" s="2">
        <v>43284</v>
      </c>
      <c r="C689" t="s">
        <v>30</v>
      </c>
      <c r="D689" t="s">
        <v>12</v>
      </c>
      <c r="E689" s="1">
        <v>7</v>
      </c>
      <c r="F689" s="1">
        <v>16</v>
      </c>
      <c r="G689" s="1">
        <v>112</v>
      </c>
      <c r="H689" s="1">
        <v>0.08</v>
      </c>
      <c r="I689" s="1">
        <v>9</v>
      </c>
      <c r="J689" t="s">
        <v>39</v>
      </c>
    </row>
    <row r="690" spans="1:10" x14ac:dyDescent="0.35">
      <c r="A690" t="s">
        <v>720</v>
      </c>
      <c r="B690" s="2">
        <v>43284</v>
      </c>
      <c r="C690" t="s">
        <v>15</v>
      </c>
      <c r="D690" t="s">
        <v>31</v>
      </c>
      <c r="E690" s="1">
        <v>11</v>
      </c>
      <c r="F690" s="1">
        <v>40</v>
      </c>
      <c r="G690" s="1">
        <v>440</v>
      </c>
      <c r="H690" s="1">
        <v>0.05</v>
      </c>
      <c r="I690" s="1">
        <v>22</v>
      </c>
      <c r="J690" t="s">
        <v>32</v>
      </c>
    </row>
    <row r="691" spans="1:10" x14ac:dyDescent="0.35">
      <c r="A691" t="s">
        <v>721</v>
      </c>
      <c r="B691" s="2">
        <v>43284</v>
      </c>
      <c r="C691" t="s">
        <v>19</v>
      </c>
      <c r="D691" t="s">
        <v>27</v>
      </c>
      <c r="E691" s="1">
        <v>8</v>
      </c>
      <c r="F691" s="1">
        <v>230</v>
      </c>
      <c r="G691" s="1">
        <v>1840</v>
      </c>
      <c r="H691" s="1">
        <v>0.05</v>
      </c>
      <c r="I691" s="1">
        <v>92</v>
      </c>
      <c r="J691" t="s">
        <v>35</v>
      </c>
    </row>
    <row r="692" spans="1:10" x14ac:dyDescent="0.35">
      <c r="A692" t="s">
        <v>722</v>
      </c>
      <c r="B692" s="2">
        <v>43284</v>
      </c>
      <c r="C692" t="s">
        <v>11</v>
      </c>
      <c r="D692" t="s">
        <v>12</v>
      </c>
      <c r="E692" s="1">
        <v>18</v>
      </c>
      <c r="F692" s="1">
        <v>80</v>
      </c>
      <c r="G692" s="1">
        <v>1440</v>
      </c>
      <c r="H692" s="1">
        <v>0.02</v>
      </c>
      <c r="I692" s="1">
        <v>29</v>
      </c>
      <c r="J692" t="s">
        <v>37</v>
      </c>
    </row>
    <row r="693" spans="1:10" x14ac:dyDescent="0.35">
      <c r="A693" t="s">
        <v>723</v>
      </c>
      <c r="B693" s="2">
        <v>43284</v>
      </c>
      <c r="C693" t="s">
        <v>15</v>
      </c>
      <c r="D693" t="s">
        <v>12</v>
      </c>
      <c r="E693" s="1">
        <v>7</v>
      </c>
      <c r="F693" s="1">
        <v>40</v>
      </c>
      <c r="G693" s="1">
        <v>280</v>
      </c>
      <c r="H693" s="1">
        <v>0.1</v>
      </c>
      <c r="I693" s="1">
        <v>28</v>
      </c>
      <c r="J693" t="s">
        <v>39</v>
      </c>
    </row>
    <row r="694" spans="1:10" x14ac:dyDescent="0.35">
      <c r="A694" t="s">
        <v>724</v>
      </c>
      <c r="B694" s="2">
        <v>43285</v>
      </c>
      <c r="C694" t="s">
        <v>30</v>
      </c>
      <c r="D694" t="s">
        <v>12</v>
      </c>
      <c r="E694" s="1">
        <v>16</v>
      </c>
      <c r="F694" s="1">
        <v>16</v>
      </c>
      <c r="G694" s="1">
        <v>256</v>
      </c>
      <c r="H694" s="1">
        <v>0.03</v>
      </c>
      <c r="I694" s="1">
        <v>8</v>
      </c>
      <c r="J694" t="s">
        <v>32</v>
      </c>
    </row>
    <row r="695" spans="1:10" x14ac:dyDescent="0.35">
      <c r="A695" t="s">
        <v>725</v>
      </c>
      <c r="B695" s="2">
        <v>43285</v>
      </c>
      <c r="C695" t="s">
        <v>11</v>
      </c>
      <c r="D695" t="s">
        <v>12</v>
      </c>
      <c r="E695" s="1">
        <v>8</v>
      </c>
      <c r="F695" s="1">
        <v>80</v>
      </c>
      <c r="G695" s="1">
        <v>640</v>
      </c>
      <c r="H695" s="1">
        <v>0.08</v>
      </c>
      <c r="I695" s="1">
        <v>51</v>
      </c>
      <c r="J695" t="s">
        <v>35</v>
      </c>
    </row>
    <row r="696" spans="1:10" x14ac:dyDescent="0.35">
      <c r="A696" t="s">
        <v>726</v>
      </c>
      <c r="B696" s="2">
        <v>43285</v>
      </c>
      <c r="C696" t="s">
        <v>19</v>
      </c>
      <c r="D696" t="s">
        <v>31</v>
      </c>
      <c r="E696" s="1">
        <v>22</v>
      </c>
      <c r="F696" s="1">
        <v>230</v>
      </c>
      <c r="G696" s="1">
        <v>5060</v>
      </c>
      <c r="H696" s="1">
        <v>0.1</v>
      </c>
      <c r="I696" s="1">
        <v>506</v>
      </c>
      <c r="J696" t="s">
        <v>37</v>
      </c>
    </row>
    <row r="697" spans="1:10" x14ac:dyDescent="0.35">
      <c r="A697" t="s">
        <v>727</v>
      </c>
      <c r="B697" s="2">
        <v>43285</v>
      </c>
      <c r="C697" t="s">
        <v>19</v>
      </c>
      <c r="D697" t="s">
        <v>31</v>
      </c>
      <c r="E697" s="1">
        <v>3</v>
      </c>
      <c r="F697" s="1">
        <v>230</v>
      </c>
      <c r="G697" s="1">
        <v>690</v>
      </c>
      <c r="H697" s="1">
        <v>0.1</v>
      </c>
      <c r="I697" s="1">
        <v>69</v>
      </c>
      <c r="J697" t="s">
        <v>39</v>
      </c>
    </row>
    <row r="698" spans="1:10" x14ac:dyDescent="0.35">
      <c r="A698" t="s">
        <v>728</v>
      </c>
      <c r="B698" s="2">
        <v>43285</v>
      </c>
      <c r="C698" t="s">
        <v>19</v>
      </c>
      <c r="D698" t="s">
        <v>31</v>
      </c>
      <c r="E698" s="1">
        <v>20</v>
      </c>
      <c r="F698" s="1">
        <v>230</v>
      </c>
      <c r="G698" s="1">
        <v>4600</v>
      </c>
      <c r="H698" s="1">
        <v>0.11</v>
      </c>
      <c r="I698" s="1">
        <v>506</v>
      </c>
      <c r="J698" t="s">
        <v>32</v>
      </c>
    </row>
    <row r="699" spans="1:10" x14ac:dyDescent="0.35">
      <c r="A699" t="s">
        <v>729</v>
      </c>
      <c r="B699" s="2">
        <v>43285</v>
      </c>
      <c r="C699" t="s">
        <v>30</v>
      </c>
      <c r="D699" t="s">
        <v>24</v>
      </c>
      <c r="E699" s="1">
        <v>12</v>
      </c>
      <c r="F699" s="1">
        <v>16</v>
      </c>
      <c r="G699" s="1">
        <v>192</v>
      </c>
      <c r="H699" s="1">
        <v>0.03</v>
      </c>
      <c r="I699" s="1">
        <v>6</v>
      </c>
      <c r="J699" t="s">
        <v>35</v>
      </c>
    </row>
    <row r="700" spans="1:10" x14ac:dyDescent="0.35">
      <c r="A700" t="s">
        <v>730</v>
      </c>
      <c r="B700" s="2">
        <v>43285</v>
      </c>
      <c r="C700" t="s">
        <v>15</v>
      </c>
      <c r="D700" t="s">
        <v>31</v>
      </c>
      <c r="E700" s="1">
        <v>20</v>
      </c>
      <c r="F700" s="1">
        <v>40</v>
      </c>
      <c r="G700" s="1">
        <v>800</v>
      </c>
      <c r="H700" s="1">
        <v>7.0000000000000007E-2</v>
      </c>
      <c r="I700" s="1">
        <v>56</v>
      </c>
      <c r="J700" t="s">
        <v>37</v>
      </c>
    </row>
    <row r="701" spans="1:10" x14ac:dyDescent="0.35">
      <c r="A701" t="s">
        <v>731</v>
      </c>
      <c r="B701" s="2">
        <v>43285</v>
      </c>
      <c r="C701" t="s">
        <v>19</v>
      </c>
      <c r="D701" t="s">
        <v>12</v>
      </c>
      <c r="E701" s="1">
        <v>3</v>
      </c>
      <c r="F701" s="1">
        <v>230</v>
      </c>
      <c r="G701" s="1">
        <v>690</v>
      </c>
      <c r="H701" s="1">
        <v>0.06</v>
      </c>
      <c r="I701" s="1">
        <v>41</v>
      </c>
      <c r="J701" t="s">
        <v>39</v>
      </c>
    </row>
    <row r="702" spans="1:10" x14ac:dyDescent="0.35">
      <c r="A702" t="s">
        <v>732</v>
      </c>
      <c r="B702" s="2">
        <v>43285</v>
      </c>
      <c r="C702" t="s">
        <v>11</v>
      </c>
      <c r="D702" t="s">
        <v>27</v>
      </c>
      <c r="E702" s="1">
        <v>16</v>
      </c>
      <c r="F702" s="1">
        <v>80</v>
      </c>
      <c r="G702" s="1">
        <v>1280</v>
      </c>
      <c r="H702" s="1">
        <v>7.0000000000000007E-2</v>
      </c>
      <c r="I702" s="1">
        <v>90</v>
      </c>
      <c r="J702" t="s">
        <v>32</v>
      </c>
    </row>
    <row r="703" spans="1:10" x14ac:dyDescent="0.35">
      <c r="A703" t="s">
        <v>733</v>
      </c>
      <c r="B703" s="2">
        <v>43286</v>
      </c>
      <c r="C703" t="s">
        <v>15</v>
      </c>
      <c r="D703" t="s">
        <v>31</v>
      </c>
      <c r="E703" s="1">
        <v>3</v>
      </c>
      <c r="F703" s="1">
        <v>40</v>
      </c>
      <c r="G703" s="1">
        <v>120</v>
      </c>
      <c r="H703" s="1">
        <v>0.03</v>
      </c>
      <c r="I703" s="1">
        <v>4</v>
      </c>
      <c r="J703" t="s">
        <v>35</v>
      </c>
    </row>
    <row r="704" spans="1:10" x14ac:dyDescent="0.35">
      <c r="A704" t="s">
        <v>734</v>
      </c>
      <c r="B704" s="2">
        <v>43286</v>
      </c>
      <c r="C704" t="s">
        <v>19</v>
      </c>
      <c r="D704" t="s">
        <v>24</v>
      </c>
      <c r="E704" s="1">
        <v>12</v>
      </c>
      <c r="F704" s="1">
        <v>230</v>
      </c>
      <c r="G704" s="1">
        <v>2760</v>
      </c>
      <c r="H704" s="1">
        <v>0.03</v>
      </c>
      <c r="I704" s="1">
        <v>83</v>
      </c>
      <c r="J704" t="s">
        <v>37</v>
      </c>
    </row>
    <row r="705" spans="1:10" x14ac:dyDescent="0.35">
      <c r="A705" t="s">
        <v>735</v>
      </c>
      <c r="B705" s="2">
        <v>43286</v>
      </c>
      <c r="C705" t="s">
        <v>15</v>
      </c>
      <c r="D705" t="s">
        <v>27</v>
      </c>
      <c r="E705" s="1">
        <v>22</v>
      </c>
      <c r="F705" s="1">
        <v>40</v>
      </c>
      <c r="G705" s="1">
        <v>880</v>
      </c>
      <c r="H705" s="1">
        <v>0.01</v>
      </c>
      <c r="I705" s="1">
        <v>9</v>
      </c>
      <c r="J705" t="s">
        <v>39</v>
      </c>
    </row>
    <row r="706" spans="1:10" x14ac:dyDescent="0.35">
      <c r="A706" t="s">
        <v>736</v>
      </c>
      <c r="B706" s="2">
        <v>43286</v>
      </c>
      <c r="C706" t="s">
        <v>15</v>
      </c>
      <c r="D706" t="s">
        <v>16</v>
      </c>
      <c r="E706" s="1">
        <v>19</v>
      </c>
      <c r="F706" s="1">
        <v>40</v>
      </c>
      <c r="G706" s="1">
        <v>760</v>
      </c>
      <c r="H706" s="1">
        <v>0.1</v>
      </c>
      <c r="I706" s="1">
        <v>76</v>
      </c>
      <c r="J706" t="s">
        <v>32</v>
      </c>
    </row>
    <row r="707" spans="1:10" x14ac:dyDescent="0.35">
      <c r="A707" t="s">
        <v>737</v>
      </c>
      <c r="B707" s="2">
        <v>43286</v>
      </c>
      <c r="C707" t="s">
        <v>11</v>
      </c>
      <c r="D707" t="s">
        <v>16</v>
      </c>
      <c r="E707" s="1">
        <v>21</v>
      </c>
      <c r="F707" s="1">
        <v>80</v>
      </c>
      <c r="G707" s="1">
        <v>1680</v>
      </c>
      <c r="H707" s="1">
        <v>0.04</v>
      </c>
      <c r="I707" s="1">
        <v>67</v>
      </c>
      <c r="J707" t="s">
        <v>35</v>
      </c>
    </row>
    <row r="708" spans="1:10" x14ac:dyDescent="0.35">
      <c r="A708" t="s">
        <v>738</v>
      </c>
      <c r="B708" s="2">
        <v>43286</v>
      </c>
      <c r="C708" t="s">
        <v>11</v>
      </c>
      <c r="D708" t="s">
        <v>16</v>
      </c>
      <c r="E708" s="1">
        <v>2</v>
      </c>
      <c r="F708" s="1">
        <v>80</v>
      </c>
      <c r="G708" s="1">
        <v>160</v>
      </c>
      <c r="H708" s="1">
        <v>0.04</v>
      </c>
      <c r="I708" s="1">
        <v>6</v>
      </c>
      <c r="J708" t="s">
        <v>37</v>
      </c>
    </row>
    <row r="709" spans="1:10" x14ac:dyDescent="0.35">
      <c r="A709" t="s">
        <v>739</v>
      </c>
      <c r="B709" s="2">
        <v>43286</v>
      </c>
      <c r="C709" t="s">
        <v>34</v>
      </c>
      <c r="D709" t="s">
        <v>16</v>
      </c>
      <c r="E709" s="1">
        <v>15</v>
      </c>
      <c r="F709" s="1">
        <v>150</v>
      </c>
      <c r="G709" s="1">
        <v>2250</v>
      </c>
      <c r="H709" s="1">
        <v>0.02</v>
      </c>
      <c r="I709" s="1">
        <v>45</v>
      </c>
      <c r="J709" t="s">
        <v>39</v>
      </c>
    </row>
    <row r="710" spans="1:10" x14ac:dyDescent="0.35">
      <c r="A710" t="s">
        <v>740</v>
      </c>
      <c r="B710" s="2">
        <v>43287</v>
      </c>
      <c r="C710" t="s">
        <v>15</v>
      </c>
      <c r="D710" t="s">
        <v>16</v>
      </c>
      <c r="E710" s="1">
        <v>14</v>
      </c>
      <c r="F710" s="1">
        <v>40</v>
      </c>
      <c r="G710" s="1">
        <v>560</v>
      </c>
      <c r="H710" s="1">
        <v>0.06</v>
      </c>
      <c r="I710" s="1">
        <v>34</v>
      </c>
      <c r="J710" t="s">
        <v>32</v>
      </c>
    </row>
    <row r="711" spans="1:10" x14ac:dyDescent="0.35">
      <c r="A711" t="s">
        <v>741</v>
      </c>
      <c r="B711" s="2">
        <v>43287</v>
      </c>
      <c r="C711" t="s">
        <v>11</v>
      </c>
      <c r="D711" t="s">
        <v>27</v>
      </c>
      <c r="E711" s="1">
        <v>7</v>
      </c>
      <c r="F711" s="1">
        <v>80</v>
      </c>
      <c r="G711" s="1">
        <v>560</v>
      </c>
      <c r="H711" s="1">
        <v>7.0000000000000007E-2</v>
      </c>
      <c r="I711" s="1">
        <v>39</v>
      </c>
      <c r="J711" t="s">
        <v>35</v>
      </c>
    </row>
    <row r="712" spans="1:10" x14ac:dyDescent="0.35">
      <c r="A712" t="s">
        <v>742</v>
      </c>
      <c r="B712" s="2">
        <v>43287</v>
      </c>
      <c r="C712" t="s">
        <v>11</v>
      </c>
      <c r="D712" t="s">
        <v>24</v>
      </c>
      <c r="E712" s="1">
        <v>7</v>
      </c>
      <c r="F712" s="1">
        <v>80</v>
      </c>
      <c r="G712" s="1">
        <v>560</v>
      </c>
      <c r="H712" s="1">
        <v>0.05</v>
      </c>
      <c r="I712" s="1">
        <v>28</v>
      </c>
      <c r="J712" t="s">
        <v>37</v>
      </c>
    </row>
    <row r="713" spans="1:10" x14ac:dyDescent="0.35">
      <c r="A713" t="s">
        <v>743</v>
      </c>
      <c r="B713" s="2">
        <v>43287</v>
      </c>
      <c r="C713" t="s">
        <v>34</v>
      </c>
      <c r="D713" t="s">
        <v>16</v>
      </c>
      <c r="E713" s="1">
        <v>10</v>
      </c>
      <c r="F713" s="1">
        <v>150</v>
      </c>
      <c r="G713" s="1">
        <v>1500</v>
      </c>
      <c r="H713" s="1">
        <v>0.01</v>
      </c>
      <c r="I713" s="1">
        <v>15</v>
      </c>
      <c r="J713" t="s">
        <v>39</v>
      </c>
    </row>
    <row r="714" spans="1:10" x14ac:dyDescent="0.35">
      <c r="A714" t="s">
        <v>744</v>
      </c>
      <c r="B714" s="2">
        <v>43287</v>
      </c>
      <c r="C714" t="s">
        <v>11</v>
      </c>
      <c r="D714" t="s">
        <v>24</v>
      </c>
      <c r="E714" s="1">
        <v>10</v>
      </c>
      <c r="F714" s="1">
        <v>80</v>
      </c>
      <c r="G714" s="1">
        <v>800</v>
      </c>
      <c r="H714" s="1">
        <v>0.08</v>
      </c>
      <c r="I714" s="1">
        <v>64</v>
      </c>
      <c r="J714" t="s">
        <v>32</v>
      </c>
    </row>
    <row r="715" spans="1:10" x14ac:dyDescent="0.35">
      <c r="A715" t="s">
        <v>745</v>
      </c>
      <c r="B715" s="2">
        <v>43287</v>
      </c>
      <c r="C715" t="s">
        <v>11</v>
      </c>
      <c r="D715" t="s">
        <v>27</v>
      </c>
      <c r="E715" s="1">
        <v>15</v>
      </c>
      <c r="F715" s="1">
        <v>80</v>
      </c>
      <c r="G715" s="1">
        <v>1200</v>
      </c>
      <c r="H715" s="1">
        <v>0.08</v>
      </c>
      <c r="I715" s="1">
        <v>96</v>
      </c>
      <c r="J715" t="s">
        <v>35</v>
      </c>
    </row>
    <row r="716" spans="1:10" x14ac:dyDescent="0.35">
      <c r="A716" t="s">
        <v>746</v>
      </c>
      <c r="B716" s="2">
        <v>43287</v>
      </c>
      <c r="C716" t="s">
        <v>19</v>
      </c>
      <c r="D716" t="s">
        <v>27</v>
      </c>
      <c r="E716" s="1">
        <v>18</v>
      </c>
      <c r="F716" s="1">
        <v>230</v>
      </c>
      <c r="G716" s="1">
        <v>4140</v>
      </c>
      <c r="H716" s="1">
        <v>0.01</v>
      </c>
      <c r="I716" s="1">
        <v>41</v>
      </c>
      <c r="J716" t="s">
        <v>37</v>
      </c>
    </row>
    <row r="717" spans="1:10" x14ac:dyDescent="0.35">
      <c r="A717" t="s">
        <v>747</v>
      </c>
      <c r="B717" s="2">
        <v>43287</v>
      </c>
      <c r="C717" t="s">
        <v>11</v>
      </c>
      <c r="D717" t="s">
        <v>12</v>
      </c>
      <c r="E717" s="1">
        <v>8</v>
      </c>
      <c r="F717" s="1">
        <v>80</v>
      </c>
      <c r="G717" s="1">
        <v>640</v>
      </c>
      <c r="H717" s="1">
        <v>0.09</v>
      </c>
      <c r="I717" s="1">
        <v>58</v>
      </c>
      <c r="J717" t="s">
        <v>39</v>
      </c>
    </row>
    <row r="718" spans="1:10" x14ac:dyDescent="0.35">
      <c r="A718" t="s">
        <v>748</v>
      </c>
      <c r="B718" s="2">
        <v>43287</v>
      </c>
      <c r="C718" t="s">
        <v>30</v>
      </c>
      <c r="D718" t="s">
        <v>24</v>
      </c>
      <c r="E718" s="1">
        <v>6</v>
      </c>
      <c r="F718" s="1">
        <v>16</v>
      </c>
      <c r="G718" s="1">
        <v>96</v>
      </c>
      <c r="H718" s="1">
        <v>0.01</v>
      </c>
      <c r="I718" s="1">
        <v>1</v>
      </c>
      <c r="J718" t="s">
        <v>32</v>
      </c>
    </row>
    <row r="719" spans="1:10" x14ac:dyDescent="0.35">
      <c r="A719" t="s">
        <v>749</v>
      </c>
      <c r="B719" s="2">
        <v>43287</v>
      </c>
      <c r="C719" t="s">
        <v>19</v>
      </c>
      <c r="D719" t="s">
        <v>16</v>
      </c>
      <c r="E719" s="1">
        <v>9</v>
      </c>
      <c r="F719" s="1">
        <v>230</v>
      </c>
      <c r="G719" s="1">
        <v>2070</v>
      </c>
      <c r="H719" s="1">
        <v>0.03</v>
      </c>
      <c r="I719" s="1">
        <v>62</v>
      </c>
      <c r="J719" t="s">
        <v>35</v>
      </c>
    </row>
    <row r="720" spans="1:10" x14ac:dyDescent="0.35">
      <c r="A720" t="s">
        <v>750</v>
      </c>
      <c r="B720" s="2">
        <v>43288</v>
      </c>
      <c r="C720" t="s">
        <v>15</v>
      </c>
      <c r="D720" t="s">
        <v>27</v>
      </c>
      <c r="E720" s="1">
        <v>15</v>
      </c>
      <c r="F720" s="1">
        <v>40</v>
      </c>
      <c r="G720" s="1">
        <v>600</v>
      </c>
      <c r="H720" s="1">
        <v>0.03</v>
      </c>
      <c r="I720" s="1">
        <v>18</v>
      </c>
      <c r="J720" t="s">
        <v>37</v>
      </c>
    </row>
    <row r="721" spans="1:10" x14ac:dyDescent="0.35">
      <c r="A721" t="s">
        <v>751</v>
      </c>
      <c r="B721" s="2">
        <v>43288</v>
      </c>
      <c r="C721" t="s">
        <v>15</v>
      </c>
      <c r="D721" t="s">
        <v>16</v>
      </c>
      <c r="E721" s="1">
        <v>15</v>
      </c>
      <c r="F721" s="1">
        <v>40</v>
      </c>
      <c r="G721" s="1">
        <v>600</v>
      </c>
      <c r="H721" s="1">
        <v>0.04</v>
      </c>
      <c r="I721" s="1">
        <v>24</v>
      </c>
      <c r="J721" t="s">
        <v>39</v>
      </c>
    </row>
    <row r="722" spans="1:10" x14ac:dyDescent="0.35">
      <c r="A722" t="s">
        <v>752</v>
      </c>
      <c r="B722" s="2">
        <v>43288</v>
      </c>
      <c r="C722" t="s">
        <v>30</v>
      </c>
      <c r="D722" t="s">
        <v>31</v>
      </c>
      <c r="E722" s="1">
        <v>11</v>
      </c>
      <c r="F722" s="1">
        <v>16</v>
      </c>
      <c r="G722" s="1">
        <v>176</v>
      </c>
      <c r="H722" s="1">
        <v>0.12</v>
      </c>
      <c r="I722" s="1">
        <v>21</v>
      </c>
      <c r="J722" t="s">
        <v>32</v>
      </c>
    </row>
    <row r="723" spans="1:10" x14ac:dyDescent="0.35">
      <c r="A723" t="s">
        <v>753</v>
      </c>
      <c r="B723" s="2">
        <v>43288</v>
      </c>
      <c r="C723" t="s">
        <v>30</v>
      </c>
      <c r="D723" t="s">
        <v>12</v>
      </c>
      <c r="E723" s="1">
        <v>12</v>
      </c>
      <c r="F723" s="1">
        <v>16</v>
      </c>
      <c r="G723" s="1">
        <v>192</v>
      </c>
      <c r="H723" s="1">
        <v>0.11</v>
      </c>
      <c r="I723" s="1">
        <v>21</v>
      </c>
      <c r="J723" t="s">
        <v>20</v>
      </c>
    </row>
    <row r="724" spans="1:10" x14ac:dyDescent="0.35">
      <c r="A724" t="s">
        <v>754</v>
      </c>
      <c r="B724" s="2">
        <v>43288</v>
      </c>
      <c r="C724" t="s">
        <v>30</v>
      </c>
      <c r="D724" t="s">
        <v>27</v>
      </c>
      <c r="E724" s="1">
        <v>18</v>
      </c>
      <c r="F724" s="1">
        <v>16</v>
      </c>
      <c r="G724" s="1">
        <v>288</v>
      </c>
      <c r="H724" s="1">
        <v>0.04</v>
      </c>
      <c r="I724" s="1">
        <v>12</v>
      </c>
      <c r="J724" t="s">
        <v>37</v>
      </c>
    </row>
    <row r="725" spans="1:10" x14ac:dyDescent="0.35">
      <c r="A725" t="s">
        <v>755</v>
      </c>
      <c r="B725" s="2">
        <v>43288</v>
      </c>
      <c r="C725" t="s">
        <v>15</v>
      </c>
      <c r="D725" t="s">
        <v>24</v>
      </c>
      <c r="E725" s="1">
        <v>20</v>
      </c>
      <c r="F725" s="1">
        <v>40</v>
      </c>
      <c r="G725" s="1">
        <v>800</v>
      </c>
      <c r="H725" s="1">
        <v>0.01</v>
      </c>
      <c r="I725" s="1">
        <v>8</v>
      </c>
      <c r="J725" t="s">
        <v>20</v>
      </c>
    </row>
    <row r="726" spans="1:10" x14ac:dyDescent="0.35">
      <c r="A726" t="s">
        <v>756</v>
      </c>
      <c r="B726" s="2">
        <v>43288</v>
      </c>
      <c r="C726" t="s">
        <v>34</v>
      </c>
      <c r="D726" t="s">
        <v>31</v>
      </c>
      <c r="E726" s="1">
        <v>7</v>
      </c>
      <c r="F726" s="1">
        <v>150</v>
      </c>
      <c r="G726" s="1">
        <v>1050</v>
      </c>
      <c r="H726" s="1">
        <v>0.03</v>
      </c>
      <c r="I726" s="1">
        <v>32</v>
      </c>
      <c r="J726" t="s">
        <v>37</v>
      </c>
    </row>
    <row r="727" spans="1:10" x14ac:dyDescent="0.35">
      <c r="A727" t="s">
        <v>757</v>
      </c>
      <c r="B727" s="2">
        <v>43288</v>
      </c>
      <c r="C727" t="s">
        <v>15</v>
      </c>
      <c r="D727" t="s">
        <v>27</v>
      </c>
      <c r="E727" s="1">
        <v>23</v>
      </c>
      <c r="F727" s="1">
        <v>40</v>
      </c>
      <c r="G727" s="1">
        <v>920</v>
      </c>
      <c r="H727" s="1">
        <v>0.06</v>
      </c>
      <c r="I727" s="1">
        <v>55</v>
      </c>
      <c r="J727" t="s">
        <v>20</v>
      </c>
    </row>
    <row r="728" spans="1:10" x14ac:dyDescent="0.35">
      <c r="A728" t="s">
        <v>758</v>
      </c>
      <c r="B728" s="2">
        <v>43288</v>
      </c>
      <c r="C728" t="s">
        <v>11</v>
      </c>
      <c r="D728" t="s">
        <v>12</v>
      </c>
      <c r="E728" s="1">
        <v>7</v>
      </c>
      <c r="F728" s="1">
        <v>80</v>
      </c>
      <c r="G728" s="1">
        <v>560</v>
      </c>
      <c r="H728" s="1">
        <v>0.02</v>
      </c>
      <c r="I728" s="1">
        <v>11</v>
      </c>
      <c r="J728" t="s">
        <v>37</v>
      </c>
    </row>
    <row r="729" spans="1:10" x14ac:dyDescent="0.35">
      <c r="A729" t="s">
        <v>759</v>
      </c>
      <c r="B729" s="2">
        <v>43288</v>
      </c>
      <c r="C729" t="s">
        <v>34</v>
      </c>
      <c r="D729" t="s">
        <v>16</v>
      </c>
      <c r="E729" s="1">
        <v>16</v>
      </c>
      <c r="F729" s="1">
        <v>150</v>
      </c>
      <c r="G729" s="1">
        <v>2400</v>
      </c>
      <c r="H729" s="1">
        <v>0.05</v>
      </c>
      <c r="I729" s="1">
        <v>120</v>
      </c>
      <c r="J729" t="s">
        <v>20</v>
      </c>
    </row>
    <row r="730" spans="1:10" x14ac:dyDescent="0.35">
      <c r="A730" t="s">
        <v>760</v>
      </c>
      <c r="B730" s="2">
        <v>43288</v>
      </c>
      <c r="C730" t="s">
        <v>19</v>
      </c>
      <c r="D730" t="s">
        <v>16</v>
      </c>
      <c r="E730" s="1">
        <v>6</v>
      </c>
      <c r="F730" s="1">
        <v>230</v>
      </c>
      <c r="G730" s="1">
        <v>1380</v>
      </c>
      <c r="H730" s="1">
        <v>0.1</v>
      </c>
      <c r="I730" s="1">
        <v>138</v>
      </c>
      <c r="J730" t="s">
        <v>37</v>
      </c>
    </row>
    <row r="731" spans="1:10" x14ac:dyDescent="0.35">
      <c r="A731" t="s">
        <v>761</v>
      </c>
      <c r="B731" s="2">
        <v>43289</v>
      </c>
      <c r="C731" t="s">
        <v>15</v>
      </c>
      <c r="D731" t="s">
        <v>31</v>
      </c>
      <c r="E731" s="1">
        <v>7</v>
      </c>
      <c r="F731" s="1">
        <v>40</v>
      </c>
      <c r="G731" s="1">
        <v>280</v>
      </c>
      <c r="H731" s="1">
        <v>0.12</v>
      </c>
      <c r="I731" s="1">
        <v>34</v>
      </c>
      <c r="J731" t="s">
        <v>20</v>
      </c>
    </row>
    <row r="732" spans="1:10" x14ac:dyDescent="0.35">
      <c r="A732" t="s">
        <v>762</v>
      </c>
      <c r="B732" s="2">
        <v>43289</v>
      </c>
      <c r="C732" t="s">
        <v>11</v>
      </c>
      <c r="D732" t="s">
        <v>24</v>
      </c>
      <c r="E732" s="1">
        <v>23</v>
      </c>
      <c r="F732" s="1">
        <v>80</v>
      </c>
      <c r="G732" s="1">
        <v>1840</v>
      </c>
      <c r="H732" s="1">
        <v>0.05</v>
      </c>
      <c r="I732" s="1">
        <v>92</v>
      </c>
      <c r="J732" t="s">
        <v>37</v>
      </c>
    </row>
    <row r="733" spans="1:10" x14ac:dyDescent="0.35">
      <c r="A733" t="s">
        <v>763</v>
      </c>
      <c r="B733" s="2">
        <v>43289</v>
      </c>
      <c r="C733" t="s">
        <v>11</v>
      </c>
      <c r="D733" t="s">
        <v>27</v>
      </c>
      <c r="E733" s="1">
        <v>16</v>
      </c>
      <c r="F733" s="1">
        <v>80</v>
      </c>
      <c r="G733" s="1">
        <v>1280</v>
      </c>
      <c r="H733" s="1">
        <v>0.1</v>
      </c>
      <c r="I733" s="1">
        <v>128</v>
      </c>
      <c r="J733" t="s">
        <v>20</v>
      </c>
    </row>
    <row r="734" spans="1:10" x14ac:dyDescent="0.35">
      <c r="A734" t="s">
        <v>764</v>
      </c>
      <c r="B734" s="2">
        <v>43289</v>
      </c>
      <c r="C734" t="s">
        <v>11</v>
      </c>
      <c r="D734" t="s">
        <v>12</v>
      </c>
      <c r="E734" s="1">
        <v>16</v>
      </c>
      <c r="F734" s="1">
        <v>80</v>
      </c>
      <c r="G734" s="1">
        <v>1280</v>
      </c>
      <c r="H734" s="1">
        <v>0.03</v>
      </c>
      <c r="I734" s="1">
        <v>38</v>
      </c>
      <c r="J734" t="s">
        <v>37</v>
      </c>
    </row>
    <row r="735" spans="1:10" x14ac:dyDescent="0.35">
      <c r="A735" t="s">
        <v>765</v>
      </c>
      <c r="B735" s="2">
        <v>43289</v>
      </c>
      <c r="C735" t="s">
        <v>11</v>
      </c>
      <c r="D735" t="s">
        <v>31</v>
      </c>
      <c r="E735" s="1">
        <v>22</v>
      </c>
      <c r="F735" s="1">
        <v>80</v>
      </c>
      <c r="G735" s="1">
        <v>1760</v>
      </c>
      <c r="H735" s="1">
        <v>0.09</v>
      </c>
      <c r="I735" s="1">
        <v>158</v>
      </c>
      <c r="J735" t="s">
        <v>20</v>
      </c>
    </row>
    <row r="736" spans="1:10" x14ac:dyDescent="0.35">
      <c r="A736" t="s">
        <v>766</v>
      </c>
      <c r="B736" s="2">
        <v>43289</v>
      </c>
      <c r="C736" t="s">
        <v>30</v>
      </c>
      <c r="D736" t="s">
        <v>12</v>
      </c>
      <c r="E736" s="1">
        <v>18</v>
      </c>
      <c r="F736" s="1">
        <v>16</v>
      </c>
      <c r="G736" s="1">
        <v>288</v>
      </c>
      <c r="H736" s="1">
        <v>0.05</v>
      </c>
      <c r="I736" s="1">
        <v>14</v>
      </c>
      <c r="J736" t="s">
        <v>37</v>
      </c>
    </row>
    <row r="737" spans="1:10" x14ac:dyDescent="0.35">
      <c r="A737" t="s">
        <v>767</v>
      </c>
      <c r="B737" s="2">
        <v>43289</v>
      </c>
      <c r="C737" t="s">
        <v>19</v>
      </c>
      <c r="D737" t="s">
        <v>31</v>
      </c>
      <c r="E737" s="1">
        <v>5</v>
      </c>
      <c r="F737" s="1">
        <v>230</v>
      </c>
      <c r="G737" s="1">
        <v>1150</v>
      </c>
      <c r="H737" s="1">
        <v>0.12</v>
      </c>
      <c r="I737" s="1">
        <v>138</v>
      </c>
      <c r="J737" t="s">
        <v>20</v>
      </c>
    </row>
    <row r="738" spans="1:10" x14ac:dyDescent="0.35">
      <c r="A738" t="s">
        <v>768</v>
      </c>
      <c r="B738" s="2">
        <v>43289</v>
      </c>
      <c r="C738" t="s">
        <v>34</v>
      </c>
      <c r="D738" t="s">
        <v>31</v>
      </c>
      <c r="E738" s="1">
        <v>7</v>
      </c>
      <c r="F738" s="1">
        <v>150</v>
      </c>
      <c r="G738" s="1">
        <v>1050</v>
      </c>
      <c r="H738" s="1">
        <v>0.02</v>
      </c>
      <c r="I738" s="1">
        <v>21</v>
      </c>
      <c r="J738" t="s">
        <v>37</v>
      </c>
    </row>
    <row r="739" spans="1:10" x14ac:dyDescent="0.35">
      <c r="A739" t="s">
        <v>769</v>
      </c>
      <c r="B739" s="2">
        <v>43289</v>
      </c>
      <c r="C739" t="s">
        <v>15</v>
      </c>
      <c r="D739" t="s">
        <v>24</v>
      </c>
      <c r="E739" s="1">
        <v>2</v>
      </c>
      <c r="F739" s="1">
        <v>40</v>
      </c>
      <c r="G739" s="1">
        <v>80</v>
      </c>
      <c r="H739" s="1">
        <v>0.03</v>
      </c>
      <c r="I739" s="1">
        <v>2</v>
      </c>
      <c r="J739" t="s">
        <v>20</v>
      </c>
    </row>
    <row r="740" spans="1:10" x14ac:dyDescent="0.35">
      <c r="A740" t="s">
        <v>770</v>
      </c>
      <c r="B740" s="2">
        <v>43289</v>
      </c>
      <c r="C740" t="s">
        <v>15</v>
      </c>
      <c r="D740" t="s">
        <v>27</v>
      </c>
      <c r="E740" s="1">
        <v>11</v>
      </c>
      <c r="F740" s="1">
        <v>40</v>
      </c>
      <c r="G740" s="1">
        <v>440</v>
      </c>
      <c r="H740" s="1">
        <v>0.06</v>
      </c>
      <c r="I740" s="1">
        <v>26</v>
      </c>
      <c r="J740" t="s">
        <v>37</v>
      </c>
    </row>
    <row r="741" spans="1:10" x14ac:dyDescent="0.35">
      <c r="A741" t="s">
        <v>771</v>
      </c>
      <c r="B741" s="2">
        <v>43289</v>
      </c>
      <c r="C741" t="s">
        <v>11</v>
      </c>
      <c r="D741" t="s">
        <v>27</v>
      </c>
      <c r="E741" s="1">
        <v>7</v>
      </c>
      <c r="F741" s="1">
        <v>80</v>
      </c>
      <c r="G741" s="1">
        <v>560</v>
      </c>
      <c r="H741" s="1">
        <v>0.02</v>
      </c>
      <c r="I741" s="1">
        <v>11</v>
      </c>
      <c r="J741" t="s">
        <v>20</v>
      </c>
    </row>
    <row r="742" spans="1:10" x14ac:dyDescent="0.35">
      <c r="A742" t="s">
        <v>772</v>
      </c>
      <c r="B742" s="2">
        <v>43290</v>
      </c>
      <c r="C742" t="s">
        <v>15</v>
      </c>
      <c r="D742" t="s">
        <v>24</v>
      </c>
      <c r="E742" s="1">
        <v>4</v>
      </c>
      <c r="F742" s="1">
        <v>40</v>
      </c>
      <c r="G742" s="1">
        <v>160</v>
      </c>
      <c r="H742" s="1">
        <v>0.11</v>
      </c>
      <c r="I742" s="1">
        <v>18</v>
      </c>
      <c r="J742" t="s">
        <v>37</v>
      </c>
    </row>
    <row r="743" spans="1:10" x14ac:dyDescent="0.35">
      <c r="A743" t="s">
        <v>773</v>
      </c>
      <c r="B743" s="2">
        <v>43290</v>
      </c>
      <c r="C743" t="s">
        <v>15</v>
      </c>
      <c r="D743" t="s">
        <v>24</v>
      </c>
      <c r="E743" s="1">
        <v>2</v>
      </c>
      <c r="F743" s="1">
        <v>40</v>
      </c>
      <c r="G743" s="1">
        <v>80</v>
      </c>
      <c r="H743" s="1">
        <v>0.02</v>
      </c>
      <c r="I743" s="1">
        <v>2</v>
      </c>
      <c r="J743" t="s">
        <v>20</v>
      </c>
    </row>
    <row r="744" spans="1:10" x14ac:dyDescent="0.35">
      <c r="A744" t="s">
        <v>774</v>
      </c>
      <c r="B744" s="2">
        <v>43290</v>
      </c>
      <c r="C744" t="s">
        <v>19</v>
      </c>
      <c r="D744" t="s">
        <v>27</v>
      </c>
      <c r="E744" s="1">
        <v>23</v>
      </c>
      <c r="F744" s="1">
        <v>230</v>
      </c>
      <c r="G744" s="1">
        <v>5290</v>
      </c>
      <c r="H744" s="1">
        <v>0.06</v>
      </c>
      <c r="I744" s="1">
        <v>317</v>
      </c>
      <c r="J744" t="s">
        <v>37</v>
      </c>
    </row>
    <row r="745" spans="1:10" x14ac:dyDescent="0.35">
      <c r="A745" t="s">
        <v>775</v>
      </c>
      <c r="B745" s="2">
        <v>43290</v>
      </c>
      <c r="C745" t="s">
        <v>11</v>
      </c>
      <c r="D745" t="s">
        <v>31</v>
      </c>
      <c r="E745" s="1">
        <v>21</v>
      </c>
      <c r="F745" s="1">
        <v>80</v>
      </c>
      <c r="G745" s="1">
        <v>1680</v>
      </c>
      <c r="H745" s="1">
        <v>0.09</v>
      </c>
      <c r="I745" s="1">
        <v>151</v>
      </c>
      <c r="J745" t="s">
        <v>20</v>
      </c>
    </row>
    <row r="746" spans="1:10" x14ac:dyDescent="0.35">
      <c r="A746" t="s">
        <v>776</v>
      </c>
      <c r="B746" s="2">
        <v>43290</v>
      </c>
      <c r="C746" t="s">
        <v>11</v>
      </c>
      <c r="D746" t="s">
        <v>31</v>
      </c>
      <c r="E746" s="1">
        <v>9</v>
      </c>
      <c r="F746" s="1">
        <v>80</v>
      </c>
      <c r="G746" s="1">
        <v>720</v>
      </c>
      <c r="H746" s="1">
        <v>0.06</v>
      </c>
      <c r="I746" s="1">
        <v>43</v>
      </c>
      <c r="J746" t="s">
        <v>37</v>
      </c>
    </row>
    <row r="747" spans="1:10" x14ac:dyDescent="0.35">
      <c r="A747" t="s">
        <v>777</v>
      </c>
      <c r="B747" s="2">
        <v>43290</v>
      </c>
      <c r="C747" t="s">
        <v>11</v>
      </c>
      <c r="D747" t="s">
        <v>31</v>
      </c>
      <c r="E747" s="1">
        <v>22</v>
      </c>
      <c r="F747" s="1">
        <v>80</v>
      </c>
      <c r="G747" s="1">
        <v>1760</v>
      </c>
      <c r="H747" s="1">
        <v>0.11</v>
      </c>
      <c r="I747" s="1">
        <v>194</v>
      </c>
      <c r="J747" t="s">
        <v>20</v>
      </c>
    </row>
    <row r="748" spans="1:10" x14ac:dyDescent="0.35">
      <c r="A748" t="s">
        <v>778</v>
      </c>
      <c r="B748" s="2">
        <v>43291</v>
      </c>
      <c r="C748" t="s">
        <v>19</v>
      </c>
      <c r="D748" t="s">
        <v>24</v>
      </c>
      <c r="E748" s="1">
        <v>15</v>
      </c>
      <c r="F748" s="1">
        <v>230</v>
      </c>
      <c r="G748" s="1">
        <v>3450</v>
      </c>
      <c r="H748" s="1">
        <v>0.11</v>
      </c>
      <c r="I748" s="1">
        <v>380</v>
      </c>
      <c r="J748" t="s">
        <v>37</v>
      </c>
    </row>
    <row r="749" spans="1:10" x14ac:dyDescent="0.35">
      <c r="A749" t="s">
        <v>779</v>
      </c>
      <c r="B749" s="2">
        <v>43291</v>
      </c>
      <c r="C749" t="s">
        <v>15</v>
      </c>
      <c r="D749" t="s">
        <v>16</v>
      </c>
      <c r="E749" s="1">
        <v>7</v>
      </c>
      <c r="F749" s="1">
        <v>40</v>
      </c>
      <c r="G749" s="1">
        <v>280</v>
      </c>
      <c r="H749" s="1">
        <v>0.01</v>
      </c>
      <c r="I749" s="1">
        <v>3</v>
      </c>
      <c r="J749" t="s">
        <v>20</v>
      </c>
    </row>
    <row r="750" spans="1:10" x14ac:dyDescent="0.35">
      <c r="A750" t="s">
        <v>780</v>
      </c>
      <c r="B750" s="2">
        <v>43291</v>
      </c>
      <c r="C750" t="s">
        <v>34</v>
      </c>
      <c r="D750" t="s">
        <v>31</v>
      </c>
      <c r="E750" s="1">
        <v>17</v>
      </c>
      <c r="F750" s="1">
        <v>150</v>
      </c>
      <c r="G750" s="1">
        <v>2550</v>
      </c>
      <c r="H750" s="1">
        <v>0.02</v>
      </c>
      <c r="I750" s="1">
        <v>51</v>
      </c>
      <c r="J750" t="s">
        <v>37</v>
      </c>
    </row>
    <row r="751" spans="1:10" x14ac:dyDescent="0.35">
      <c r="A751" t="s">
        <v>781</v>
      </c>
      <c r="B751" s="2">
        <v>43291</v>
      </c>
      <c r="C751" t="s">
        <v>34</v>
      </c>
      <c r="D751" t="s">
        <v>16</v>
      </c>
      <c r="E751" s="1">
        <v>22</v>
      </c>
      <c r="F751" s="1">
        <v>150</v>
      </c>
      <c r="G751" s="1">
        <v>3300</v>
      </c>
      <c r="H751" s="1">
        <v>0.02</v>
      </c>
      <c r="I751" s="1">
        <v>66</v>
      </c>
      <c r="J751" t="s">
        <v>20</v>
      </c>
    </row>
    <row r="752" spans="1:10" x14ac:dyDescent="0.35">
      <c r="A752" t="s">
        <v>782</v>
      </c>
      <c r="B752" s="2">
        <v>43291</v>
      </c>
      <c r="C752" t="s">
        <v>19</v>
      </c>
      <c r="D752" t="s">
        <v>24</v>
      </c>
      <c r="E752" s="1">
        <v>10</v>
      </c>
      <c r="F752" s="1">
        <v>230</v>
      </c>
      <c r="G752" s="1">
        <v>2300</v>
      </c>
      <c r="H752" s="1">
        <v>0.02</v>
      </c>
      <c r="I752" s="1">
        <v>46</v>
      </c>
      <c r="J752" t="s">
        <v>37</v>
      </c>
    </row>
    <row r="753" spans="1:10" x14ac:dyDescent="0.35">
      <c r="A753" t="s">
        <v>783</v>
      </c>
      <c r="B753" s="2">
        <v>43291</v>
      </c>
      <c r="C753" t="s">
        <v>15</v>
      </c>
      <c r="D753" t="s">
        <v>31</v>
      </c>
      <c r="E753" s="1">
        <v>21</v>
      </c>
      <c r="F753" s="1">
        <v>40</v>
      </c>
      <c r="G753" s="1">
        <v>840</v>
      </c>
      <c r="H753" s="1">
        <v>0.01</v>
      </c>
      <c r="I753" s="1">
        <v>8</v>
      </c>
      <c r="J753" t="s">
        <v>20</v>
      </c>
    </row>
    <row r="754" spans="1:10" x14ac:dyDescent="0.35">
      <c r="A754" t="s">
        <v>784</v>
      </c>
      <c r="B754" s="2">
        <v>43291</v>
      </c>
      <c r="C754" t="s">
        <v>19</v>
      </c>
      <c r="D754" t="s">
        <v>24</v>
      </c>
      <c r="E754" s="1">
        <v>5</v>
      </c>
      <c r="F754" s="1">
        <v>230</v>
      </c>
      <c r="G754" s="1">
        <v>1150</v>
      </c>
      <c r="H754" s="1">
        <v>0.1</v>
      </c>
      <c r="I754" s="1">
        <v>115</v>
      </c>
      <c r="J754" t="s">
        <v>37</v>
      </c>
    </row>
    <row r="755" spans="1:10" x14ac:dyDescent="0.35">
      <c r="A755" t="s">
        <v>785</v>
      </c>
      <c r="B755" s="2">
        <v>43291</v>
      </c>
      <c r="C755" t="s">
        <v>19</v>
      </c>
      <c r="D755" t="s">
        <v>31</v>
      </c>
      <c r="E755" s="1">
        <v>13</v>
      </c>
      <c r="F755" s="1">
        <v>230</v>
      </c>
      <c r="G755" s="1">
        <v>2990</v>
      </c>
      <c r="H755" s="1">
        <v>0.06</v>
      </c>
      <c r="I755" s="1">
        <v>179</v>
      </c>
      <c r="J755" t="s">
        <v>20</v>
      </c>
    </row>
    <row r="756" spans="1:10" x14ac:dyDescent="0.35">
      <c r="A756" t="s">
        <v>786</v>
      </c>
      <c r="B756" s="2">
        <v>43291</v>
      </c>
      <c r="C756" t="s">
        <v>34</v>
      </c>
      <c r="D756" t="s">
        <v>12</v>
      </c>
      <c r="E756" s="1">
        <v>23</v>
      </c>
      <c r="F756" s="1">
        <v>150</v>
      </c>
      <c r="G756" s="1">
        <v>3450</v>
      </c>
      <c r="H756" s="1">
        <v>0.1</v>
      </c>
      <c r="I756" s="1">
        <v>345</v>
      </c>
      <c r="J756" t="s">
        <v>37</v>
      </c>
    </row>
    <row r="757" spans="1:10" x14ac:dyDescent="0.35">
      <c r="A757" t="s">
        <v>787</v>
      </c>
      <c r="B757" s="2">
        <v>43291</v>
      </c>
      <c r="C757" t="s">
        <v>34</v>
      </c>
      <c r="D757" t="s">
        <v>12</v>
      </c>
      <c r="E757" s="1">
        <v>20</v>
      </c>
      <c r="F757" s="1">
        <v>150</v>
      </c>
      <c r="G757" s="1">
        <v>3000</v>
      </c>
      <c r="H757" s="1">
        <v>0.03</v>
      </c>
      <c r="I757" s="1">
        <v>90</v>
      </c>
      <c r="J757" t="s">
        <v>20</v>
      </c>
    </row>
    <row r="758" spans="1:10" x14ac:dyDescent="0.35">
      <c r="A758" t="s">
        <v>788</v>
      </c>
      <c r="B758" s="2">
        <v>43292</v>
      </c>
      <c r="C758" t="s">
        <v>19</v>
      </c>
      <c r="D758" t="s">
        <v>12</v>
      </c>
      <c r="E758" s="1">
        <v>3</v>
      </c>
      <c r="F758" s="1">
        <v>230</v>
      </c>
      <c r="G758" s="1">
        <v>690</v>
      </c>
      <c r="H758" s="1">
        <v>0.11</v>
      </c>
      <c r="I758" s="1">
        <v>76</v>
      </c>
      <c r="J758" t="s">
        <v>37</v>
      </c>
    </row>
    <row r="759" spans="1:10" x14ac:dyDescent="0.35">
      <c r="A759" t="s">
        <v>789</v>
      </c>
      <c r="B759" s="2">
        <v>43292</v>
      </c>
      <c r="C759" t="s">
        <v>34</v>
      </c>
      <c r="D759" t="s">
        <v>16</v>
      </c>
      <c r="E759" s="1">
        <v>16</v>
      </c>
      <c r="F759" s="1">
        <v>150</v>
      </c>
      <c r="G759" s="1">
        <v>2400</v>
      </c>
      <c r="H759" s="1">
        <v>0.08</v>
      </c>
      <c r="I759" s="1">
        <v>192</v>
      </c>
      <c r="J759" t="s">
        <v>20</v>
      </c>
    </row>
    <row r="760" spans="1:10" x14ac:dyDescent="0.35">
      <c r="A760" t="s">
        <v>790</v>
      </c>
      <c r="B760" s="2">
        <v>43292</v>
      </c>
      <c r="C760" t="s">
        <v>30</v>
      </c>
      <c r="D760" t="s">
        <v>31</v>
      </c>
      <c r="E760" s="1">
        <v>14</v>
      </c>
      <c r="F760" s="1">
        <v>16</v>
      </c>
      <c r="G760" s="1">
        <v>224</v>
      </c>
      <c r="H760" s="1">
        <v>0.06</v>
      </c>
      <c r="I760" s="1">
        <v>13</v>
      </c>
      <c r="J760" t="s">
        <v>37</v>
      </c>
    </row>
    <row r="761" spans="1:10" x14ac:dyDescent="0.35">
      <c r="A761" t="s">
        <v>791</v>
      </c>
      <c r="B761" s="2">
        <v>43292</v>
      </c>
      <c r="C761" t="s">
        <v>34</v>
      </c>
      <c r="D761" t="s">
        <v>16</v>
      </c>
      <c r="E761" s="1">
        <v>16</v>
      </c>
      <c r="F761" s="1">
        <v>150</v>
      </c>
      <c r="G761" s="1">
        <v>2400</v>
      </c>
      <c r="H761" s="1">
        <v>0.03</v>
      </c>
      <c r="I761" s="1">
        <v>72</v>
      </c>
      <c r="J761" t="s">
        <v>20</v>
      </c>
    </row>
    <row r="762" spans="1:10" x14ac:dyDescent="0.35">
      <c r="A762" t="s">
        <v>792</v>
      </c>
      <c r="B762" s="2">
        <v>43292</v>
      </c>
      <c r="C762" t="s">
        <v>30</v>
      </c>
      <c r="D762" t="s">
        <v>31</v>
      </c>
      <c r="E762" s="1">
        <v>19</v>
      </c>
      <c r="F762" s="1">
        <v>16</v>
      </c>
      <c r="G762" s="1">
        <v>304</v>
      </c>
      <c r="H762" s="1">
        <v>0.02</v>
      </c>
      <c r="I762" s="1">
        <v>6</v>
      </c>
      <c r="J762" t="s">
        <v>37</v>
      </c>
    </row>
    <row r="763" spans="1:10" x14ac:dyDescent="0.35">
      <c r="A763" t="s">
        <v>793</v>
      </c>
      <c r="B763" s="2">
        <v>43292</v>
      </c>
      <c r="C763" t="s">
        <v>11</v>
      </c>
      <c r="D763" t="s">
        <v>31</v>
      </c>
      <c r="E763" s="1">
        <v>6</v>
      </c>
      <c r="F763" s="1">
        <v>80</v>
      </c>
      <c r="G763" s="1">
        <v>480</v>
      </c>
      <c r="H763" s="1">
        <v>0.09</v>
      </c>
      <c r="I763" s="1">
        <v>43</v>
      </c>
      <c r="J763" t="s">
        <v>20</v>
      </c>
    </row>
    <row r="764" spans="1:10" x14ac:dyDescent="0.35">
      <c r="A764" t="s">
        <v>794</v>
      </c>
      <c r="B764" s="2">
        <v>43292</v>
      </c>
      <c r="C764" t="s">
        <v>11</v>
      </c>
      <c r="D764" t="s">
        <v>31</v>
      </c>
      <c r="E764" s="1">
        <v>9</v>
      </c>
      <c r="F764" s="1">
        <v>80</v>
      </c>
      <c r="G764" s="1">
        <v>720</v>
      </c>
      <c r="H764" s="1">
        <v>7.0000000000000007E-2</v>
      </c>
      <c r="I764" s="1">
        <v>50</v>
      </c>
      <c r="J764" t="s">
        <v>37</v>
      </c>
    </row>
    <row r="765" spans="1:10" x14ac:dyDescent="0.35">
      <c r="A765" t="s">
        <v>795</v>
      </c>
      <c r="B765" s="2">
        <v>43292</v>
      </c>
      <c r="C765" t="s">
        <v>34</v>
      </c>
      <c r="D765" t="s">
        <v>16</v>
      </c>
      <c r="E765" s="1">
        <v>20</v>
      </c>
      <c r="F765" s="1">
        <v>150</v>
      </c>
      <c r="G765" s="1">
        <v>3000</v>
      </c>
      <c r="H765" s="1">
        <v>0.09</v>
      </c>
      <c r="I765" s="1">
        <v>270</v>
      </c>
      <c r="J765" t="s">
        <v>20</v>
      </c>
    </row>
    <row r="766" spans="1:10" x14ac:dyDescent="0.35">
      <c r="A766" t="s">
        <v>796</v>
      </c>
      <c r="B766" s="2">
        <v>43292</v>
      </c>
      <c r="C766" t="s">
        <v>11</v>
      </c>
      <c r="D766" t="s">
        <v>24</v>
      </c>
      <c r="E766" s="1">
        <v>10</v>
      </c>
      <c r="F766" s="1">
        <v>80</v>
      </c>
      <c r="G766" s="1">
        <v>800</v>
      </c>
      <c r="H766" s="1">
        <v>0.11</v>
      </c>
      <c r="I766" s="1">
        <v>88</v>
      </c>
      <c r="J766" t="s">
        <v>37</v>
      </c>
    </row>
    <row r="767" spans="1:10" x14ac:dyDescent="0.35">
      <c r="A767" t="s">
        <v>797</v>
      </c>
      <c r="B767" s="2">
        <v>43292</v>
      </c>
      <c r="C767" t="s">
        <v>30</v>
      </c>
      <c r="D767" t="s">
        <v>12</v>
      </c>
      <c r="E767" s="1">
        <v>4</v>
      </c>
      <c r="F767" s="1">
        <v>16</v>
      </c>
      <c r="G767" s="1">
        <v>64</v>
      </c>
      <c r="H767" s="1">
        <v>0.12</v>
      </c>
      <c r="I767" s="1">
        <v>8</v>
      </c>
      <c r="J767" t="s">
        <v>20</v>
      </c>
    </row>
    <row r="768" spans="1:10" x14ac:dyDescent="0.35">
      <c r="A768" t="s">
        <v>798</v>
      </c>
      <c r="B768" s="2">
        <v>43292</v>
      </c>
      <c r="C768" t="s">
        <v>15</v>
      </c>
      <c r="D768" t="s">
        <v>31</v>
      </c>
      <c r="E768" s="1">
        <v>16</v>
      </c>
      <c r="F768" s="1">
        <v>40</v>
      </c>
      <c r="G768" s="1">
        <v>640</v>
      </c>
      <c r="H768" s="1">
        <v>0.11</v>
      </c>
      <c r="I768" s="1">
        <v>70</v>
      </c>
      <c r="J768" t="s">
        <v>37</v>
      </c>
    </row>
    <row r="769" spans="1:10" x14ac:dyDescent="0.35">
      <c r="A769" t="s">
        <v>799</v>
      </c>
      <c r="B769" s="2">
        <v>43293</v>
      </c>
      <c r="C769" t="s">
        <v>11</v>
      </c>
      <c r="D769" t="s">
        <v>16</v>
      </c>
      <c r="E769" s="1">
        <v>5</v>
      </c>
      <c r="F769" s="1">
        <v>80</v>
      </c>
      <c r="G769" s="1">
        <v>400</v>
      </c>
      <c r="H769" s="1">
        <v>0.04</v>
      </c>
      <c r="I769" s="1">
        <v>16</v>
      </c>
      <c r="J769" t="s">
        <v>20</v>
      </c>
    </row>
    <row r="770" spans="1:10" x14ac:dyDescent="0.35">
      <c r="A770" t="s">
        <v>800</v>
      </c>
      <c r="B770" s="2">
        <v>43293</v>
      </c>
      <c r="C770" t="s">
        <v>30</v>
      </c>
      <c r="D770" t="s">
        <v>24</v>
      </c>
      <c r="E770" s="1">
        <v>11</v>
      </c>
      <c r="F770" s="1">
        <v>16</v>
      </c>
      <c r="G770" s="1">
        <v>176</v>
      </c>
      <c r="H770" s="1">
        <v>0.04</v>
      </c>
      <c r="I770" s="1">
        <v>7</v>
      </c>
      <c r="J770" t="s">
        <v>37</v>
      </c>
    </row>
    <row r="771" spans="1:10" x14ac:dyDescent="0.35">
      <c r="A771" t="s">
        <v>801</v>
      </c>
      <c r="B771" s="2">
        <v>43293</v>
      </c>
      <c r="C771" t="s">
        <v>34</v>
      </c>
      <c r="D771" t="s">
        <v>12</v>
      </c>
      <c r="E771" s="1">
        <v>17</v>
      </c>
      <c r="F771" s="1">
        <v>150</v>
      </c>
      <c r="G771" s="1">
        <v>2550</v>
      </c>
      <c r="H771" s="1">
        <v>0.12</v>
      </c>
      <c r="I771" s="1">
        <v>306</v>
      </c>
      <c r="J771" t="s">
        <v>20</v>
      </c>
    </row>
    <row r="772" spans="1:10" x14ac:dyDescent="0.35">
      <c r="A772" t="s">
        <v>802</v>
      </c>
      <c r="B772" s="2">
        <v>43293</v>
      </c>
      <c r="C772" t="s">
        <v>19</v>
      </c>
      <c r="D772" t="s">
        <v>16</v>
      </c>
      <c r="E772" s="1">
        <v>19</v>
      </c>
      <c r="F772" s="1">
        <v>230</v>
      </c>
      <c r="G772" s="1">
        <v>4370</v>
      </c>
      <c r="H772" s="1">
        <v>0.11</v>
      </c>
      <c r="I772" s="1">
        <v>481</v>
      </c>
      <c r="J772" t="s">
        <v>37</v>
      </c>
    </row>
    <row r="773" spans="1:10" x14ac:dyDescent="0.35">
      <c r="A773" t="s">
        <v>803</v>
      </c>
      <c r="B773" s="2">
        <v>43293</v>
      </c>
      <c r="C773" t="s">
        <v>11</v>
      </c>
      <c r="D773" t="s">
        <v>12</v>
      </c>
      <c r="E773" s="1">
        <v>21</v>
      </c>
      <c r="F773" s="1">
        <v>80</v>
      </c>
      <c r="G773" s="1">
        <v>1680</v>
      </c>
      <c r="H773" s="1">
        <v>0.04</v>
      </c>
      <c r="I773" s="1">
        <v>67</v>
      </c>
      <c r="J773" t="s">
        <v>20</v>
      </c>
    </row>
    <row r="774" spans="1:10" x14ac:dyDescent="0.35">
      <c r="A774" t="s">
        <v>804</v>
      </c>
      <c r="B774" s="2">
        <v>43293</v>
      </c>
      <c r="C774" t="s">
        <v>19</v>
      </c>
      <c r="D774" t="s">
        <v>16</v>
      </c>
      <c r="E774" s="1">
        <v>7</v>
      </c>
      <c r="F774" s="1">
        <v>230</v>
      </c>
      <c r="G774" s="1">
        <v>1610</v>
      </c>
      <c r="H774" s="1">
        <v>0.01</v>
      </c>
      <c r="I774" s="1">
        <v>16</v>
      </c>
      <c r="J774" t="s">
        <v>37</v>
      </c>
    </row>
    <row r="775" spans="1:10" x14ac:dyDescent="0.35">
      <c r="A775" t="s">
        <v>805</v>
      </c>
      <c r="B775" s="2">
        <v>43293</v>
      </c>
      <c r="C775" t="s">
        <v>15</v>
      </c>
      <c r="D775" t="s">
        <v>24</v>
      </c>
      <c r="E775" s="1">
        <v>2</v>
      </c>
      <c r="F775" s="1">
        <v>40</v>
      </c>
      <c r="G775" s="1">
        <v>80</v>
      </c>
      <c r="H775" s="1">
        <v>0.03</v>
      </c>
      <c r="I775" s="1">
        <v>2</v>
      </c>
      <c r="J775" t="s">
        <v>20</v>
      </c>
    </row>
    <row r="776" spans="1:10" x14ac:dyDescent="0.35">
      <c r="A776" t="s">
        <v>806</v>
      </c>
      <c r="B776" s="2">
        <v>43293</v>
      </c>
      <c r="C776" t="s">
        <v>34</v>
      </c>
      <c r="D776" t="s">
        <v>12</v>
      </c>
      <c r="E776" s="1">
        <v>7</v>
      </c>
      <c r="F776" s="1">
        <v>150</v>
      </c>
      <c r="G776" s="1">
        <v>1050</v>
      </c>
      <c r="H776" s="1">
        <v>0.02</v>
      </c>
      <c r="I776" s="1">
        <v>21</v>
      </c>
      <c r="J776" t="s">
        <v>37</v>
      </c>
    </row>
    <row r="777" spans="1:10" x14ac:dyDescent="0.35">
      <c r="A777" t="s">
        <v>807</v>
      </c>
      <c r="B777" s="2">
        <v>43294</v>
      </c>
      <c r="C777" t="s">
        <v>11</v>
      </c>
      <c r="D777" t="s">
        <v>24</v>
      </c>
      <c r="E777" s="1">
        <v>16</v>
      </c>
      <c r="F777" s="1">
        <v>80</v>
      </c>
      <c r="G777" s="1">
        <v>1280</v>
      </c>
      <c r="H777" s="1">
        <v>0.04</v>
      </c>
      <c r="I777" s="1">
        <v>51</v>
      </c>
      <c r="J777" t="s">
        <v>20</v>
      </c>
    </row>
    <row r="778" spans="1:10" x14ac:dyDescent="0.35">
      <c r="A778" t="s">
        <v>808</v>
      </c>
      <c r="B778" s="2">
        <v>43294</v>
      </c>
      <c r="C778" t="s">
        <v>15</v>
      </c>
      <c r="D778" t="s">
        <v>16</v>
      </c>
      <c r="E778" s="1">
        <v>4</v>
      </c>
      <c r="F778" s="1">
        <v>40</v>
      </c>
      <c r="G778" s="1">
        <v>160</v>
      </c>
      <c r="H778" s="1">
        <v>0.12</v>
      </c>
      <c r="I778" s="1">
        <v>19</v>
      </c>
      <c r="J778" t="s">
        <v>37</v>
      </c>
    </row>
    <row r="779" spans="1:10" x14ac:dyDescent="0.35">
      <c r="A779" t="s">
        <v>809</v>
      </c>
      <c r="B779" s="2">
        <v>43294</v>
      </c>
      <c r="C779" t="s">
        <v>30</v>
      </c>
      <c r="D779" t="s">
        <v>12</v>
      </c>
      <c r="E779" s="1">
        <v>22</v>
      </c>
      <c r="F779" s="1">
        <v>16</v>
      </c>
      <c r="G779" s="1">
        <v>352</v>
      </c>
      <c r="H779" s="1">
        <v>0.01</v>
      </c>
      <c r="I779" s="1">
        <v>4</v>
      </c>
      <c r="J779" t="s">
        <v>20</v>
      </c>
    </row>
    <row r="780" spans="1:10" x14ac:dyDescent="0.35">
      <c r="A780" t="s">
        <v>810</v>
      </c>
      <c r="B780" s="2">
        <v>43294</v>
      </c>
      <c r="C780" t="s">
        <v>15</v>
      </c>
      <c r="D780" t="s">
        <v>27</v>
      </c>
      <c r="E780" s="1">
        <v>18</v>
      </c>
      <c r="F780" s="1">
        <v>40</v>
      </c>
      <c r="G780" s="1">
        <v>720</v>
      </c>
      <c r="H780" s="1">
        <v>0.06</v>
      </c>
      <c r="I780" s="1">
        <v>43</v>
      </c>
      <c r="J780" t="s">
        <v>37</v>
      </c>
    </row>
    <row r="781" spans="1:10" x14ac:dyDescent="0.35">
      <c r="A781" t="s">
        <v>811</v>
      </c>
      <c r="B781" s="2">
        <v>43294</v>
      </c>
      <c r="C781" t="s">
        <v>11</v>
      </c>
      <c r="D781" t="s">
        <v>24</v>
      </c>
      <c r="E781" s="1">
        <v>6</v>
      </c>
      <c r="F781" s="1">
        <v>80</v>
      </c>
      <c r="G781" s="1">
        <v>480</v>
      </c>
      <c r="H781" s="1">
        <v>0.01</v>
      </c>
      <c r="I781" s="1">
        <v>5</v>
      </c>
      <c r="J781" t="s">
        <v>20</v>
      </c>
    </row>
    <row r="782" spans="1:10" x14ac:dyDescent="0.35">
      <c r="A782" t="s">
        <v>812</v>
      </c>
      <c r="B782" s="2">
        <v>43294</v>
      </c>
      <c r="C782" t="s">
        <v>19</v>
      </c>
      <c r="D782" t="s">
        <v>24</v>
      </c>
      <c r="E782" s="1">
        <v>2</v>
      </c>
      <c r="F782" s="1">
        <v>230</v>
      </c>
      <c r="G782" s="1">
        <v>460</v>
      </c>
      <c r="H782" s="1">
        <v>0.09</v>
      </c>
      <c r="I782" s="1">
        <v>41</v>
      </c>
      <c r="J782" t="s">
        <v>37</v>
      </c>
    </row>
    <row r="783" spans="1:10" x14ac:dyDescent="0.35">
      <c r="A783" t="s">
        <v>813</v>
      </c>
      <c r="B783" s="2">
        <v>43295</v>
      </c>
      <c r="C783" t="s">
        <v>34</v>
      </c>
      <c r="D783" t="s">
        <v>31</v>
      </c>
      <c r="E783" s="1">
        <v>11</v>
      </c>
      <c r="F783" s="1">
        <v>150</v>
      </c>
      <c r="G783" s="1">
        <v>1650</v>
      </c>
      <c r="H783" s="1">
        <v>0.09</v>
      </c>
      <c r="I783" s="1">
        <v>148</v>
      </c>
      <c r="J783" t="s">
        <v>20</v>
      </c>
    </row>
    <row r="784" spans="1:10" x14ac:dyDescent="0.35">
      <c r="A784" t="s">
        <v>814</v>
      </c>
      <c r="B784" s="2">
        <v>43295</v>
      </c>
      <c r="C784" t="s">
        <v>34</v>
      </c>
      <c r="D784" t="s">
        <v>27</v>
      </c>
      <c r="E784" s="1">
        <v>15</v>
      </c>
      <c r="F784" s="1">
        <v>150</v>
      </c>
      <c r="G784" s="1">
        <v>2250</v>
      </c>
      <c r="H784" s="1">
        <v>0.08</v>
      </c>
      <c r="I784" s="1">
        <v>180</v>
      </c>
      <c r="J784" t="s">
        <v>37</v>
      </c>
    </row>
    <row r="785" spans="1:10" x14ac:dyDescent="0.35">
      <c r="A785" t="s">
        <v>815</v>
      </c>
      <c r="B785" s="2">
        <v>43295</v>
      </c>
      <c r="C785" t="s">
        <v>11</v>
      </c>
      <c r="D785" t="s">
        <v>12</v>
      </c>
      <c r="E785" s="1">
        <v>17</v>
      </c>
      <c r="F785" s="1">
        <v>80</v>
      </c>
      <c r="G785" s="1">
        <v>1360</v>
      </c>
      <c r="H785" s="1">
        <v>0.09</v>
      </c>
      <c r="I785" s="1">
        <v>122</v>
      </c>
      <c r="J785" t="s">
        <v>20</v>
      </c>
    </row>
    <row r="786" spans="1:10" x14ac:dyDescent="0.35">
      <c r="A786" t="s">
        <v>816</v>
      </c>
      <c r="B786" s="2">
        <v>43295</v>
      </c>
      <c r="C786" t="s">
        <v>34</v>
      </c>
      <c r="D786" t="s">
        <v>31</v>
      </c>
      <c r="E786" s="1">
        <v>13</v>
      </c>
      <c r="F786" s="1">
        <v>150</v>
      </c>
      <c r="G786" s="1">
        <v>1950</v>
      </c>
      <c r="H786" s="1">
        <v>0.11</v>
      </c>
      <c r="I786" s="1">
        <v>214</v>
      </c>
      <c r="J786" t="s">
        <v>37</v>
      </c>
    </row>
    <row r="787" spans="1:10" x14ac:dyDescent="0.35">
      <c r="A787" t="s">
        <v>817</v>
      </c>
      <c r="B787" s="2">
        <v>43295</v>
      </c>
      <c r="C787" t="s">
        <v>15</v>
      </c>
      <c r="D787" t="s">
        <v>27</v>
      </c>
      <c r="E787" s="1">
        <v>7</v>
      </c>
      <c r="F787" s="1">
        <v>40</v>
      </c>
      <c r="G787" s="1">
        <v>280</v>
      </c>
      <c r="H787" s="1">
        <v>7.0000000000000007E-2</v>
      </c>
      <c r="I787" s="1">
        <v>20</v>
      </c>
      <c r="J787" t="s">
        <v>20</v>
      </c>
    </row>
    <row r="788" spans="1:10" x14ac:dyDescent="0.35">
      <c r="A788" t="s">
        <v>818</v>
      </c>
      <c r="B788" s="2">
        <v>43295</v>
      </c>
      <c r="C788" t="s">
        <v>19</v>
      </c>
      <c r="D788" t="s">
        <v>27</v>
      </c>
      <c r="E788" s="1">
        <v>3</v>
      </c>
      <c r="F788" s="1">
        <v>230</v>
      </c>
      <c r="G788" s="1">
        <v>690</v>
      </c>
      <c r="H788" s="1">
        <v>0.01</v>
      </c>
      <c r="I788" s="1">
        <v>7</v>
      </c>
      <c r="J788" t="s">
        <v>37</v>
      </c>
    </row>
    <row r="789" spans="1:10" x14ac:dyDescent="0.35">
      <c r="A789" t="s">
        <v>819</v>
      </c>
      <c r="B789" s="2">
        <v>43295</v>
      </c>
      <c r="C789" t="s">
        <v>15</v>
      </c>
      <c r="D789" t="s">
        <v>24</v>
      </c>
      <c r="E789" s="1">
        <v>12</v>
      </c>
      <c r="F789" s="1">
        <v>40</v>
      </c>
      <c r="G789" s="1">
        <v>480</v>
      </c>
      <c r="H789" s="1">
        <v>0.02</v>
      </c>
      <c r="I789" s="1">
        <v>10</v>
      </c>
      <c r="J789" t="s">
        <v>20</v>
      </c>
    </row>
    <row r="790" spans="1:10" x14ac:dyDescent="0.35">
      <c r="A790" t="s">
        <v>820</v>
      </c>
      <c r="B790" s="2">
        <v>43295</v>
      </c>
      <c r="C790" t="s">
        <v>34</v>
      </c>
      <c r="D790" t="s">
        <v>24</v>
      </c>
      <c r="E790" s="1">
        <v>11</v>
      </c>
      <c r="F790" s="1">
        <v>150</v>
      </c>
      <c r="G790" s="1">
        <v>1650</v>
      </c>
      <c r="H790" s="1">
        <v>0.11</v>
      </c>
      <c r="I790" s="1">
        <v>182</v>
      </c>
      <c r="J790" t="s">
        <v>37</v>
      </c>
    </row>
    <row r="791" spans="1:10" x14ac:dyDescent="0.35">
      <c r="A791" t="s">
        <v>821</v>
      </c>
      <c r="B791" s="2">
        <v>43295</v>
      </c>
      <c r="C791" t="s">
        <v>15</v>
      </c>
      <c r="D791" t="s">
        <v>16</v>
      </c>
      <c r="E791" s="1">
        <v>21</v>
      </c>
      <c r="F791" s="1">
        <v>40</v>
      </c>
      <c r="G791" s="1">
        <v>840</v>
      </c>
      <c r="H791" s="1">
        <v>0.03</v>
      </c>
      <c r="I791" s="1">
        <v>25</v>
      </c>
      <c r="J791" t="s">
        <v>20</v>
      </c>
    </row>
    <row r="792" spans="1:10" x14ac:dyDescent="0.35">
      <c r="A792" t="s">
        <v>822</v>
      </c>
      <c r="B792" s="2">
        <v>43295</v>
      </c>
      <c r="C792" t="s">
        <v>34</v>
      </c>
      <c r="D792" t="s">
        <v>12</v>
      </c>
      <c r="E792" s="1">
        <v>22</v>
      </c>
      <c r="F792" s="1">
        <v>150</v>
      </c>
      <c r="G792" s="1">
        <v>3300</v>
      </c>
      <c r="H792" s="1">
        <v>7.0000000000000007E-2</v>
      </c>
      <c r="I792" s="1">
        <v>231</v>
      </c>
      <c r="J792" t="s">
        <v>37</v>
      </c>
    </row>
    <row r="793" spans="1:10" x14ac:dyDescent="0.35">
      <c r="A793" t="s">
        <v>823</v>
      </c>
      <c r="B793" s="2">
        <v>43295</v>
      </c>
      <c r="C793" t="s">
        <v>15</v>
      </c>
      <c r="D793" t="s">
        <v>24</v>
      </c>
      <c r="E793" s="1">
        <v>20</v>
      </c>
      <c r="F793" s="1">
        <v>40</v>
      </c>
      <c r="G793" s="1">
        <v>800</v>
      </c>
      <c r="H793" s="1">
        <v>0.01</v>
      </c>
      <c r="I793" s="1">
        <v>8</v>
      </c>
      <c r="J793" t="s">
        <v>20</v>
      </c>
    </row>
    <row r="794" spans="1:10" x14ac:dyDescent="0.35">
      <c r="A794" t="s">
        <v>824</v>
      </c>
      <c r="B794" s="2">
        <v>43296</v>
      </c>
      <c r="C794" t="s">
        <v>30</v>
      </c>
      <c r="D794" t="s">
        <v>31</v>
      </c>
      <c r="E794" s="1">
        <v>22</v>
      </c>
      <c r="F794" s="1">
        <v>16</v>
      </c>
      <c r="G794" s="1">
        <v>352</v>
      </c>
      <c r="H794" s="1">
        <v>0.12</v>
      </c>
      <c r="I794" s="1">
        <v>42</v>
      </c>
      <c r="J794" t="s">
        <v>37</v>
      </c>
    </row>
    <row r="795" spans="1:10" x14ac:dyDescent="0.35">
      <c r="A795" t="s">
        <v>825</v>
      </c>
      <c r="B795" s="2">
        <v>43296</v>
      </c>
      <c r="C795" t="s">
        <v>15</v>
      </c>
      <c r="D795" t="s">
        <v>24</v>
      </c>
      <c r="E795" s="1">
        <v>4</v>
      </c>
      <c r="F795" s="1">
        <v>40</v>
      </c>
      <c r="G795" s="1">
        <v>160</v>
      </c>
      <c r="H795" s="1">
        <v>0.1</v>
      </c>
      <c r="I795" s="1">
        <v>16</v>
      </c>
      <c r="J795" t="s">
        <v>20</v>
      </c>
    </row>
    <row r="796" spans="1:10" x14ac:dyDescent="0.35">
      <c r="A796" t="s">
        <v>826</v>
      </c>
      <c r="B796" s="2">
        <v>43296</v>
      </c>
      <c r="C796" t="s">
        <v>19</v>
      </c>
      <c r="D796" t="s">
        <v>27</v>
      </c>
      <c r="E796" s="1">
        <v>2</v>
      </c>
      <c r="F796" s="1">
        <v>230</v>
      </c>
      <c r="G796" s="1">
        <v>460</v>
      </c>
      <c r="H796" s="1">
        <v>0.09</v>
      </c>
      <c r="I796" s="1">
        <v>41</v>
      </c>
      <c r="J796" t="s">
        <v>37</v>
      </c>
    </row>
    <row r="797" spans="1:10" x14ac:dyDescent="0.35">
      <c r="A797" t="s">
        <v>827</v>
      </c>
      <c r="B797" s="2">
        <v>43296</v>
      </c>
      <c r="C797" t="s">
        <v>15</v>
      </c>
      <c r="D797" t="s">
        <v>12</v>
      </c>
      <c r="E797" s="1">
        <v>22</v>
      </c>
      <c r="F797" s="1">
        <v>40</v>
      </c>
      <c r="G797" s="1">
        <v>880</v>
      </c>
      <c r="H797" s="1">
        <v>0.02</v>
      </c>
      <c r="I797" s="1">
        <v>18</v>
      </c>
      <c r="J797" t="s">
        <v>20</v>
      </c>
    </row>
    <row r="798" spans="1:10" x14ac:dyDescent="0.35">
      <c r="A798" t="s">
        <v>828</v>
      </c>
      <c r="B798" s="2">
        <v>43296</v>
      </c>
      <c r="C798" t="s">
        <v>15</v>
      </c>
      <c r="D798" t="s">
        <v>16</v>
      </c>
      <c r="E798" s="1">
        <v>4</v>
      </c>
      <c r="F798" s="1">
        <v>40</v>
      </c>
      <c r="G798" s="1">
        <v>160</v>
      </c>
      <c r="H798" s="1">
        <v>0.03</v>
      </c>
      <c r="I798" s="1">
        <v>5</v>
      </c>
      <c r="J798" t="s">
        <v>37</v>
      </c>
    </row>
    <row r="799" spans="1:10" x14ac:dyDescent="0.35">
      <c r="A799" t="s">
        <v>829</v>
      </c>
      <c r="B799" s="2">
        <v>43296</v>
      </c>
      <c r="C799" t="s">
        <v>30</v>
      </c>
      <c r="D799" t="s">
        <v>16</v>
      </c>
      <c r="E799" s="1">
        <v>5</v>
      </c>
      <c r="F799" s="1">
        <v>16</v>
      </c>
      <c r="G799" s="1">
        <v>80</v>
      </c>
      <c r="H799" s="1">
        <v>0.11</v>
      </c>
      <c r="I799" s="1">
        <v>9</v>
      </c>
      <c r="J799" t="s">
        <v>20</v>
      </c>
    </row>
    <row r="800" spans="1:10" x14ac:dyDescent="0.35">
      <c r="A800" t="s">
        <v>830</v>
      </c>
      <c r="B800" s="2">
        <v>43296</v>
      </c>
      <c r="C800" t="s">
        <v>11</v>
      </c>
      <c r="D800" t="s">
        <v>27</v>
      </c>
      <c r="E800" s="1">
        <v>2</v>
      </c>
      <c r="F800" s="1">
        <v>80</v>
      </c>
      <c r="G800" s="1">
        <v>160</v>
      </c>
      <c r="H800" s="1">
        <v>0.08</v>
      </c>
      <c r="I800" s="1">
        <v>13</v>
      </c>
      <c r="J800" t="s">
        <v>37</v>
      </c>
    </row>
    <row r="801" spans="1:10" x14ac:dyDescent="0.35">
      <c r="A801" t="s">
        <v>831</v>
      </c>
      <c r="B801" s="2">
        <v>43296</v>
      </c>
      <c r="C801" t="s">
        <v>30</v>
      </c>
      <c r="D801" t="s">
        <v>24</v>
      </c>
      <c r="E801" s="1">
        <v>9</v>
      </c>
      <c r="F801" s="1">
        <v>16</v>
      </c>
      <c r="G801" s="1">
        <v>144</v>
      </c>
      <c r="H801" s="1">
        <v>0.05</v>
      </c>
      <c r="I801" s="1">
        <v>7</v>
      </c>
      <c r="J801" t="s">
        <v>20</v>
      </c>
    </row>
    <row r="802" spans="1:10" x14ac:dyDescent="0.35">
      <c r="A802" t="s">
        <v>832</v>
      </c>
      <c r="B802" s="2">
        <v>43296</v>
      </c>
      <c r="C802" t="s">
        <v>19</v>
      </c>
      <c r="D802" t="s">
        <v>24</v>
      </c>
      <c r="E802" s="1">
        <v>6</v>
      </c>
      <c r="F802" s="1">
        <v>230</v>
      </c>
      <c r="G802" s="1">
        <v>1380</v>
      </c>
      <c r="H802" s="1">
        <v>0.05</v>
      </c>
      <c r="I802" s="1">
        <v>69</v>
      </c>
      <c r="J802" t="s">
        <v>37</v>
      </c>
    </row>
    <row r="803" spans="1:10" x14ac:dyDescent="0.35">
      <c r="A803" t="s">
        <v>833</v>
      </c>
      <c r="B803" s="2">
        <v>43296</v>
      </c>
      <c r="C803" t="s">
        <v>34</v>
      </c>
      <c r="D803" t="s">
        <v>27</v>
      </c>
      <c r="E803" s="1">
        <v>22</v>
      </c>
      <c r="F803" s="1">
        <v>150</v>
      </c>
      <c r="G803" s="1">
        <v>3300</v>
      </c>
      <c r="H803" s="1">
        <v>0.05</v>
      </c>
      <c r="I803" s="1">
        <v>165</v>
      </c>
      <c r="J803" t="s">
        <v>20</v>
      </c>
    </row>
    <row r="804" spans="1:10" x14ac:dyDescent="0.35">
      <c r="A804" t="s">
        <v>834</v>
      </c>
      <c r="B804" s="2">
        <v>43297</v>
      </c>
      <c r="C804" t="s">
        <v>19</v>
      </c>
      <c r="D804" t="s">
        <v>27</v>
      </c>
      <c r="E804" s="1">
        <v>8</v>
      </c>
      <c r="F804" s="1">
        <v>230</v>
      </c>
      <c r="G804" s="1">
        <v>1840</v>
      </c>
      <c r="H804" s="1">
        <v>0.01</v>
      </c>
      <c r="I804" s="1">
        <v>18</v>
      </c>
      <c r="J804" t="s">
        <v>37</v>
      </c>
    </row>
    <row r="805" spans="1:10" x14ac:dyDescent="0.35">
      <c r="A805" t="s">
        <v>835</v>
      </c>
      <c r="B805" s="2">
        <v>43297</v>
      </c>
      <c r="C805" t="s">
        <v>34</v>
      </c>
      <c r="D805" t="s">
        <v>12</v>
      </c>
      <c r="E805" s="1">
        <v>22</v>
      </c>
      <c r="F805" s="1">
        <v>150</v>
      </c>
      <c r="G805" s="1">
        <v>3300</v>
      </c>
      <c r="H805" s="1">
        <v>0.05</v>
      </c>
      <c r="I805" s="1">
        <v>165</v>
      </c>
      <c r="J805" t="s">
        <v>20</v>
      </c>
    </row>
    <row r="806" spans="1:10" x14ac:dyDescent="0.35">
      <c r="A806" t="s">
        <v>836</v>
      </c>
      <c r="B806" s="2">
        <v>43297</v>
      </c>
      <c r="C806" t="s">
        <v>15</v>
      </c>
      <c r="D806" t="s">
        <v>12</v>
      </c>
      <c r="E806" s="1">
        <v>5</v>
      </c>
      <c r="F806" s="1">
        <v>40</v>
      </c>
      <c r="G806" s="1">
        <v>200</v>
      </c>
      <c r="H806" s="1">
        <v>0.06</v>
      </c>
      <c r="I806" s="1">
        <v>12</v>
      </c>
      <c r="J806" t="s">
        <v>37</v>
      </c>
    </row>
    <row r="807" spans="1:10" x14ac:dyDescent="0.35">
      <c r="A807" t="s">
        <v>837</v>
      </c>
      <c r="B807" s="2">
        <v>43297</v>
      </c>
      <c r="C807" t="s">
        <v>34</v>
      </c>
      <c r="D807" t="s">
        <v>27</v>
      </c>
      <c r="E807" s="1">
        <v>20</v>
      </c>
      <c r="F807" s="1">
        <v>150</v>
      </c>
      <c r="G807" s="1">
        <v>3000</v>
      </c>
      <c r="H807" s="1">
        <v>0.1</v>
      </c>
      <c r="I807" s="1">
        <v>300</v>
      </c>
      <c r="J807" t="s">
        <v>20</v>
      </c>
    </row>
    <row r="808" spans="1:10" x14ac:dyDescent="0.35">
      <c r="A808" t="s">
        <v>838</v>
      </c>
      <c r="B808" s="2">
        <v>43297</v>
      </c>
      <c r="C808" t="s">
        <v>11</v>
      </c>
      <c r="D808" t="s">
        <v>27</v>
      </c>
      <c r="E808" s="1">
        <v>22</v>
      </c>
      <c r="F808" s="1">
        <v>80</v>
      </c>
      <c r="G808" s="1">
        <v>1760</v>
      </c>
      <c r="H808" s="1">
        <v>0.03</v>
      </c>
      <c r="I808" s="1">
        <v>53</v>
      </c>
      <c r="J808" t="s">
        <v>37</v>
      </c>
    </row>
    <row r="809" spans="1:10" x14ac:dyDescent="0.35">
      <c r="A809" t="s">
        <v>839</v>
      </c>
      <c r="B809" s="2">
        <v>43297</v>
      </c>
      <c r="C809" t="s">
        <v>30</v>
      </c>
      <c r="D809" t="s">
        <v>12</v>
      </c>
      <c r="E809" s="1">
        <v>11</v>
      </c>
      <c r="F809" s="1">
        <v>16</v>
      </c>
      <c r="G809" s="1">
        <v>176</v>
      </c>
      <c r="H809" s="1">
        <v>0.09</v>
      </c>
      <c r="I809" s="1">
        <v>16</v>
      </c>
      <c r="J809" t="s">
        <v>20</v>
      </c>
    </row>
    <row r="810" spans="1:10" x14ac:dyDescent="0.35">
      <c r="A810" t="s">
        <v>840</v>
      </c>
      <c r="B810" s="2">
        <v>43297</v>
      </c>
      <c r="C810" t="s">
        <v>30</v>
      </c>
      <c r="D810" t="s">
        <v>16</v>
      </c>
      <c r="E810" s="1">
        <v>22</v>
      </c>
      <c r="F810" s="1">
        <v>16</v>
      </c>
      <c r="G810" s="1">
        <v>352</v>
      </c>
      <c r="H810" s="1">
        <v>0.01</v>
      </c>
      <c r="I810" s="1">
        <v>4</v>
      </c>
      <c r="J810" t="s">
        <v>37</v>
      </c>
    </row>
    <row r="811" spans="1:10" x14ac:dyDescent="0.35">
      <c r="A811" t="s">
        <v>841</v>
      </c>
      <c r="B811" s="2">
        <v>43297</v>
      </c>
      <c r="C811" t="s">
        <v>15</v>
      </c>
      <c r="D811" t="s">
        <v>16</v>
      </c>
      <c r="E811" s="1">
        <v>23</v>
      </c>
      <c r="F811" s="1">
        <v>40</v>
      </c>
      <c r="G811" s="1">
        <v>920</v>
      </c>
      <c r="H811" s="1">
        <v>0.06</v>
      </c>
      <c r="I811" s="1">
        <v>55</v>
      </c>
      <c r="J811" t="s">
        <v>20</v>
      </c>
    </row>
    <row r="812" spans="1:10" x14ac:dyDescent="0.35">
      <c r="A812" t="s">
        <v>842</v>
      </c>
      <c r="B812" s="2">
        <v>43297</v>
      </c>
      <c r="C812" t="s">
        <v>11</v>
      </c>
      <c r="D812" t="s">
        <v>24</v>
      </c>
      <c r="E812" s="1">
        <v>14</v>
      </c>
      <c r="F812" s="1">
        <v>80</v>
      </c>
      <c r="G812" s="1">
        <v>1120</v>
      </c>
      <c r="H812" s="1">
        <v>0.1</v>
      </c>
      <c r="I812" s="1">
        <v>112</v>
      </c>
      <c r="J812" t="s">
        <v>37</v>
      </c>
    </row>
    <row r="813" spans="1:10" x14ac:dyDescent="0.35">
      <c r="A813" t="s">
        <v>843</v>
      </c>
      <c r="B813" s="2">
        <v>43297</v>
      </c>
      <c r="C813" t="s">
        <v>15</v>
      </c>
      <c r="D813" t="s">
        <v>12</v>
      </c>
      <c r="E813" s="1">
        <v>18</v>
      </c>
      <c r="F813" s="1">
        <v>40</v>
      </c>
      <c r="G813" s="1">
        <v>720</v>
      </c>
      <c r="H813" s="1">
        <v>0.06</v>
      </c>
      <c r="I813" s="1">
        <v>43</v>
      </c>
      <c r="J813" t="s">
        <v>20</v>
      </c>
    </row>
    <row r="814" spans="1:10" x14ac:dyDescent="0.35">
      <c r="A814" t="s">
        <v>844</v>
      </c>
      <c r="B814" s="2">
        <v>43298</v>
      </c>
      <c r="C814" t="s">
        <v>34</v>
      </c>
      <c r="D814" t="s">
        <v>27</v>
      </c>
      <c r="E814" s="1">
        <v>7</v>
      </c>
      <c r="F814" s="1">
        <v>150</v>
      </c>
      <c r="G814" s="1">
        <v>1050</v>
      </c>
      <c r="H814" s="1">
        <v>0.05</v>
      </c>
      <c r="I814" s="1">
        <v>52</v>
      </c>
      <c r="J814" t="s">
        <v>17</v>
      </c>
    </row>
    <row r="815" spans="1:10" x14ac:dyDescent="0.35">
      <c r="A815" t="s">
        <v>845</v>
      </c>
      <c r="B815" s="2">
        <v>43298</v>
      </c>
      <c r="C815" t="s">
        <v>15</v>
      </c>
      <c r="D815" t="s">
        <v>27</v>
      </c>
      <c r="E815" s="1">
        <v>15</v>
      </c>
      <c r="F815" s="1">
        <v>40</v>
      </c>
      <c r="G815" s="1">
        <v>600</v>
      </c>
      <c r="H815" s="1">
        <v>0.03</v>
      </c>
      <c r="I815" s="1">
        <v>18</v>
      </c>
      <c r="J815" t="s">
        <v>20</v>
      </c>
    </row>
    <row r="816" spans="1:10" x14ac:dyDescent="0.35">
      <c r="A816" t="s">
        <v>846</v>
      </c>
      <c r="B816" s="2">
        <v>43298</v>
      </c>
      <c r="C816" t="s">
        <v>30</v>
      </c>
      <c r="D816" t="s">
        <v>12</v>
      </c>
      <c r="E816" s="1">
        <v>7</v>
      </c>
      <c r="F816" s="1">
        <v>16</v>
      </c>
      <c r="G816" s="1">
        <v>112</v>
      </c>
      <c r="H816" s="1">
        <v>0.02</v>
      </c>
      <c r="I816" s="1">
        <v>2</v>
      </c>
      <c r="J816" t="s">
        <v>22</v>
      </c>
    </row>
    <row r="817" spans="1:10" x14ac:dyDescent="0.35">
      <c r="A817" t="s">
        <v>847</v>
      </c>
      <c r="B817" s="2">
        <v>43298</v>
      </c>
      <c r="C817" t="s">
        <v>30</v>
      </c>
      <c r="D817" t="s">
        <v>27</v>
      </c>
      <c r="E817" s="1">
        <v>15</v>
      </c>
      <c r="F817" s="1">
        <v>16</v>
      </c>
      <c r="G817" s="1">
        <v>240</v>
      </c>
      <c r="H817" s="1">
        <v>0.12</v>
      </c>
      <c r="I817" s="1">
        <v>29</v>
      </c>
      <c r="J817" t="s">
        <v>25</v>
      </c>
    </row>
    <row r="818" spans="1:10" x14ac:dyDescent="0.35">
      <c r="A818" t="s">
        <v>848</v>
      </c>
      <c r="B818" s="2">
        <v>43298</v>
      </c>
      <c r="C818" t="s">
        <v>15</v>
      </c>
      <c r="D818" t="s">
        <v>12</v>
      </c>
      <c r="E818" s="1">
        <v>5</v>
      </c>
      <c r="F818" s="1">
        <v>40</v>
      </c>
      <c r="G818" s="1">
        <v>200</v>
      </c>
      <c r="H818" s="1">
        <v>0.09</v>
      </c>
      <c r="I818" s="1">
        <v>18</v>
      </c>
      <c r="J818" t="s">
        <v>28</v>
      </c>
    </row>
    <row r="819" spans="1:10" x14ac:dyDescent="0.35">
      <c r="A819" t="s">
        <v>849</v>
      </c>
      <c r="B819" s="2">
        <v>43298</v>
      </c>
      <c r="C819" t="s">
        <v>15</v>
      </c>
      <c r="D819" t="s">
        <v>31</v>
      </c>
      <c r="E819" s="1">
        <v>20</v>
      </c>
      <c r="F819" s="1">
        <v>40</v>
      </c>
      <c r="G819" s="1">
        <v>800</v>
      </c>
      <c r="H819" s="1">
        <v>0.03</v>
      </c>
      <c r="I819" s="1">
        <v>24</v>
      </c>
      <c r="J819" t="s">
        <v>32</v>
      </c>
    </row>
    <row r="820" spans="1:10" x14ac:dyDescent="0.35">
      <c r="A820" t="s">
        <v>850</v>
      </c>
      <c r="B820" s="2">
        <v>43298</v>
      </c>
      <c r="C820" t="s">
        <v>19</v>
      </c>
      <c r="D820" t="s">
        <v>27</v>
      </c>
      <c r="E820" s="1">
        <v>11</v>
      </c>
      <c r="F820" s="1">
        <v>230</v>
      </c>
      <c r="G820" s="1">
        <v>2530</v>
      </c>
      <c r="H820" s="1">
        <v>0.12</v>
      </c>
      <c r="I820" s="1">
        <v>304</v>
      </c>
      <c r="J820" t="s">
        <v>35</v>
      </c>
    </row>
    <row r="821" spans="1:10" x14ac:dyDescent="0.35">
      <c r="A821" t="s">
        <v>851</v>
      </c>
      <c r="B821" s="2">
        <v>43298</v>
      </c>
      <c r="C821" t="s">
        <v>30</v>
      </c>
      <c r="D821" t="s">
        <v>31</v>
      </c>
      <c r="E821" s="1">
        <v>17</v>
      </c>
      <c r="F821" s="1">
        <v>16</v>
      </c>
      <c r="G821" s="1">
        <v>272</v>
      </c>
      <c r="H821" s="1">
        <v>0.08</v>
      </c>
      <c r="I821" s="1">
        <v>22</v>
      </c>
      <c r="J821" t="s">
        <v>37</v>
      </c>
    </row>
    <row r="822" spans="1:10" x14ac:dyDescent="0.35">
      <c r="A822" t="s">
        <v>852</v>
      </c>
      <c r="B822" s="2">
        <v>43299</v>
      </c>
      <c r="C822" t="s">
        <v>30</v>
      </c>
      <c r="D822" t="s">
        <v>12</v>
      </c>
      <c r="E822" s="1">
        <v>18</v>
      </c>
      <c r="F822" s="1">
        <v>16</v>
      </c>
      <c r="G822" s="1">
        <v>288</v>
      </c>
      <c r="H822" s="1">
        <v>0.11</v>
      </c>
      <c r="I822" s="1">
        <v>32</v>
      </c>
      <c r="J822" t="s">
        <v>39</v>
      </c>
    </row>
    <row r="823" spans="1:10" x14ac:dyDescent="0.35">
      <c r="A823" t="s">
        <v>853</v>
      </c>
      <c r="B823" s="2">
        <v>43299</v>
      </c>
      <c r="C823" t="s">
        <v>19</v>
      </c>
      <c r="D823" t="s">
        <v>27</v>
      </c>
      <c r="E823" s="1">
        <v>2</v>
      </c>
      <c r="F823" s="1">
        <v>230</v>
      </c>
      <c r="G823" s="1">
        <v>460</v>
      </c>
      <c r="H823" s="1">
        <v>0.08</v>
      </c>
      <c r="I823" s="1">
        <v>37</v>
      </c>
      <c r="J823" t="s">
        <v>41</v>
      </c>
    </row>
    <row r="824" spans="1:10" x14ac:dyDescent="0.35">
      <c r="A824" t="s">
        <v>854</v>
      </c>
      <c r="B824" s="2">
        <v>43299</v>
      </c>
      <c r="C824" t="s">
        <v>30</v>
      </c>
      <c r="D824" t="s">
        <v>24</v>
      </c>
      <c r="E824" s="1">
        <v>17</v>
      </c>
      <c r="F824" s="1">
        <v>16</v>
      </c>
      <c r="G824" s="1">
        <v>272</v>
      </c>
      <c r="H824" s="1">
        <v>0.05</v>
      </c>
      <c r="I824" s="1">
        <v>14</v>
      </c>
      <c r="J824" t="s">
        <v>43</v>
      </c>
    </row>
    <row r="825" spans="1:10" x14ac:dyDescent="0.35">
      <c r="A825" t="s">
        <v>855</v>
      </c>
      <c r="B825" s="2">
        <v>43299</v>
      </c>
      <c r="C825" t="s">
        <v>11</v>
      </c>
      <c r="D825" t="s">
        <v>27</v>
      </c>
      <c r="E825" s="1">
        <v>16</v>
      </c>
      <c r="F825" s="1">
        <v>80</v>
      </c>
      <c r="G825" s="1">
        <v>1280</v>
      </c>
      <c r="H825" s="1">
        <v>0.05</v>
      </c>
      <c r="I825" s="1">
        <v>64</v>
      </c>
      <c r="J825" t="s">
        <v>13</v>
      </c>
    </row>
    <row r="826" spans="1:10" x14ac:dyDescent="0.35">
      <c r="A826" t="s">
        <v>856</v>
      </c>
      <c r="B826" s="2">
        <v>43299</v>
      </c>
      <c r="C826" t="s">
        <v>19</v>
      </c>
      <c r="D826" t="s">
        <v>16</v>
      </c>
      <c r="E826" s="1">
        <v>14</v>
      </c>
      <c r="F826" s="1">
        <v>230</v>
      </c>
      <c r="G826" s="1">
        <v>3220</v>
      </c>
      <c r="H826" s="1">
        <v>0.05</v>
      </c>
      <c r="I826" s="1">
        <v>161</v>
      </c>
      <c r="J826" t="s">
        <v>17</v>
      </c>
    </row>
    <row r="827" spans="1:10" x14ac:dyDescent="0.35">
      <c r="A827" t="s">
        <v>857</v>
      </c>
      <c r="B827" s="2">
        <v>43299</v>
      </c>
      <c r="C827" t="s">
        <v>15</v>
      </c>
      <c r="D827" t="s">
        <v>24</v>
      </c>
      <c r="E827" s="1">
        <v>13</v>
      </c>
      <c r="F827" s="1">
        <v>40</v>
      </c>
      <c r="G827" s="1">
        <v>520</v>
      </c>
      <c r="H827" s="1">
        <v>0.02</v>
      </c>
      <c r="I827" s="1">
        <v>10</v>
      </c>
      <c r="J827" t="s">
        <v>20</v>
      </c>
    </row>
    <row r="828" spans="1:10" x14ac:dyDescent="0.35">
      <c r="A828" t="s">
        <v>858</v>
      </c>
      <c r="B828" s="2">
        <v>43299</v>
      </c>
      <c r="C828" t="s">
        <v>19</v>
      </c>
      <c r="D828" t="s">
        <v>16</v>
      </c>
      <c r="E828" s="1">
        <v>7</v>
      </c>
      <c r="F828" s="1">
        <v>230</v>
      </c>
      <c r="G828" s="1">
        <v>1610</v>
      </c>
      <c r="H828" s="1">
        <v>0.08</v>
      </c>
      <c r="I828" s="1">
        <v>129</v>
      </c>
      <c r="J828" t="s">
        <v>22</v>
      </c>
    </row>
    <row r="829" spans="1:10" x14ac:dyDescent="0.35">
      <c r="A829" t="s">
        <v>859</v>
      </c>
      <c r="B829" s="2">
        <v>43299</v>
      </c>
      <c r="C829" t="s">
        <v>15</v>
      </c>
      <c r="D829" t="s">
        <v>27</v>
      </c>
      <c r="E829" s="1">
        <v>7</v>
      </c>
      <c r="F829" s="1">
        <v>40</v>
      </c>
      <c r="G829" s="1">
        <v>280</v>
      </c>
      <c r="H829" s="1">
        <v>0.11</v>
      </c>
      <c r="I829" s="1">
        <v>31</v>
      </c>
      <c r="J829" t="s">
        <v>25</v>
      </c>
    </row>
    <row r="830" spans="1:10" x14ac:dyDescent="0.35">
      <c r="A830" t="s">
        <v>860</v>
      </c>
      <c r="B830" s="2">
        <v>43299</v>
      </c>
      <c r="C830" t="s">
        <v>19</v>
      </c>
      <c r="D830" t="s">
        <v>24</v>
      </c>
      <c r="E830" s="1">
        <v>12</v>
      </c>
      <c r="F830" s="1">
        <v>230</v>
      </c>
      <c r="G830" s="1">
        <v>2760</v>
      </c>
      <c r="H830" s="1">
        <v>0.06</v>
      </c>
      <c r="I830" s="1">
        <v>166</v>
      </c>
      <c r="J830" t="s">
        <v>28</v>
      </c>
    </row>
    <row r="831" spans="1:10" x14ac:dyDescent="0.35">
      <c r="A831" t="s">
        <v>861</v>
      </c>
      <c r="B831" s="2">
        <v>43299</v>
      </c>
      <c r="C831" t="s">
        <v>15</v>
      </c>
      <c r="D831" t="s">
        <v>12</v>
      </c>
      <c r="E831" s="1">
        <v>19</v>
      </c>
      <c r="F831" s="1">
        <v>40</v>
      </c>
      <c r="G831" s="1">
        <v>760</v>
      </c>
      <c r="H831" s="1">
        <v>0.04</v>
      </c>
      <c r="I831" s="1">
        <v>30</v>
      </c>
      <c r="J831" t="s">
        <v>17</v>
      </c>
    </row>
    <row r="832" spans="1:10" x14ac:dyDescent="0.35">
      <c r="A832" t="s">
        <v>862</v>
      </c>
      <c r="B832" s="2">
        <v>43300</v>
      </c>
      <c r="C832" t="s">
        <v>19</v>
      </c>
      <c r="D832" t="s">
        <v>24</v>
      </c>
      <c r="E832" s="1">
        <v>20</v>
      </c>
      <c r="F832" s="1">
        <v>230</v>
      </c>
      <c r="G832" s="1">
        <v>4600</v>
      </c>
      <c r="H832" s="1">
        <v>0.06</v>
      </c>
      <c r="I832" s="1">
        <v>276</v>
      </c>
      <c r="J832" t="s">
        <v>20</v>
      </c>
    </row>
    <row r="833" spans="1:10" x14ac:dyDescent="0.35">
      <c r="A833" t="s">
        <v>863</v>
      </c>
      <c r="B833" s="2">
        <v>43300</v>
      </c>
      <c r="C833" t="s">
        <v>15</v>
      </c>
      <c r="D833" t="s">
        <v>31</v>
      </c>
      <c r="E833" s="1">
        <v>23</v>
      </c>
      <c r="F833" s="1">
        <v>40</v>
      </c>
      <c r="G833" s="1">
        <v>920</v>
      </c>
      <c r="H833" s="1">
        <v>0.04</v>
      </c>
      <c r="I833" s="1">
        <v>37</v>
      </c>
      <c r="J833" t="s">
        <v>22</v>
      </c>
    </row>
    <row r="834" spans="1:10" x14ac:dyDescent="0.35">
      <c r="A834" t="s">
        <v>864</v>
      </c>
      <c r="B834" s="2">
        <v>43300</v>
      </c>
      <c r="C834" t="s">
        <v>11</v>
      </c>
      <c r="D834" t="s">
        <v>31</v>
      </c>
      <c r="E834" s="1">
        <v>16</v>
      </c>
      <c r="F834" s="1">
        <v>80</v>
      </c>
      <c r="G834" s="1">
        <v>1280</v>
      </c>
      <c r="H834" s="1">
        <v>0.05</v>
      </c>
      <c r="I834" s="1">
        <v>64</v>
      </c>
      <c r="J834" t="s">
        <v>25</v>
      </c>
    </row>
    <row r="835" spans="1:10" x14ac:dyDescent="0.35">
      <c r="A835" t="s">
        <v>865</v>
      </c>
      <c r="B835" s="2">
        <v>43300</v>
      </c>
      <c r="C835" t="s">
        <v>34</v>
      </c>
      <c r="D835" t="s">
        <v>16</v>
      </c>
      <c r="E835" s="1">
        <v>23</v>
      </c>
      <c r="F835" s="1">
        <v>150</v>
      </c>
      <c r="G835" s="1">
        <v>3450</v>
      </c>
      <c r="H835" s="1">
        <v>0.11</v>
      </c>
      <c r="I835" s="1">
        <v>380</v>
      </c>
      <c r="J835" t="s">
        <v>28</v>
      </c>
    </row>
    <row r="836" spans="1:10" x14ac:dyDescent="0.35">
      <c r="A836" t="s">
        <v>866</v>
      </c>
      <c r="B836" s="2">
        <v>43300</v>
      </c>
      <c r="C836" t="s">
        <v>30</v>
      </c>
      <c r="D836" t="s">
        <v>16</v>
      </c>
      <c r="E836" s="1">
        <v>4</v>
      </c>
      <c r="F836" s="1">
        <v>16</v>
      </c>
      <c r="G836" s="1">
        <v>64</v>
      </c>
      <c r="H836" s="1">
        <v>7.0000000000000007E-2</v>
      </c>
      <c r="I836" s="1">
        <v>4</v>
      </c>
      <c r="J836" t="s">
        <v>32</v>
      </c>
    </row>
    <row r="837" spans="1:10" x14ac:dyDescent="0.35">
      <c r="A837" t="s">
        <v>867</v>
      </c>
      <c r="B837" s="2">
        <v>43300</v>
      </c>
      <c r="C837" t="s">
        <v>19</v>
      </c>
      <c r="D837" t="s">
        <v>12</v>
      </c>
      <c r="E837" s="1">
        <v>8</v>
      </c>
      <c r="F837" s="1">
        <v>230</v>
      </c>
      <c r="G837" s="1">
        <v>1840</v>
      </c>
      <c r="H837" s="1">
        <v>0.03</v>
      </c>
      <c r="I837" s="1">
        <v>55</v>
      </c>
      <c r="J837" t="s">
        <v>35</v>
      </c>
    </row>
    <row r="838" spans="1:10" x14ac:dyDescent="0.35">
      <c r="A838" t="s">
        <v>868</v>
      </c>
      <c r="B838" s="2">
        <v>43300</v>
      </c>
      <c r="C838" t="s">
        <v>11</v>
      </c>
      <c r="D838" t="s">
        <v>16</v>
      </c>
      <c r="E838" s="1">
        <v>17</v>
      </c>
      <c r="F838" s="1">
        <v>80</v>
      </c>
      <c r="G838" s="1">
        <v>1360</v>
      </c>
      <c r="H838" s="1">
        <v>0.03</v>
      </c>
      <c r="I838" s="1">
        <v>41</v>
      </c>
      <c r="J838" t="s">
        <v>37</v>
      </c>
    </row>
    <row r="839" spans="1:10" x14ac:dyDescent="0.35">
      <c r="A839" t="s">
        <v>869</v>
      </c>
      <c r="B839" s="2">
        <v>43300</v>
      </c>
      <c r="C839" t="s">
        <v>11</v>
      </c>
      <c r="D839" t="s">
        <v>27</v>
      </c>
      <c r="E839" s="1">
        <v>10</v>
      </c>
      <c r="F839" s="1">
        <v>80</v>
      </c>
      <c r="G839" s="1">
        <v>800</v>
      </c>
      <c r="H839" s="1">
        <v>0.1</v>
      </c>
      <c r="I839" s="1">
        <v>80</v>
      </c>
      <c r="J839" t="s">
        <v>39</v>
      </c>
    </row>
    <row r="840" spans="1:10" x14ac:dyDescent="0.35">
      <c r="A840" t="s">
        <v>870</v>
      </c>
      <c r="B840" s="2">
        <v>43300</v>
      </c>
      <c r="C840" t="s">
        <v>30</v>
      </c>
      <c r="D840" t="s">
        <v>12</v>
      </c>
      <c r="E840" s="1">
        <v>20</v>
      </c>
      <c r="F840" s="1">
        <v>16</v>
      </c>
      <c r="G840" s="1">
        <v>320</v>
      </c>
      <c r="H840" s="1">
        <v>0.11</v>
      </c>
      <c r="I840" s="1">
        <v>35</v>
      </c>
      <c r="J840" t="s">
        <v>41</v>
      </c>
    </row>
    <row r="841" spans="1:10" x14ac:dyDescent="0.35">
      <c r="A841" t="s">
        <v>871</v>
      </c>
      <c r="B841" s="2">
        <v>43301</v>
      </c>
      <c r="C841" t="s">
        <v>19</v>
      </c>
      <c r="D841" t="s">
        <v>27</v>
      </c>
      <c r="E841" s="1">
        <v>19</v>
      </c>
      <c r="F841" s="1">
        <v>230</v>
      </c>
      <c r="G841" s="1">
        <v>4370</v>
      </c>
      <c r="H841" s="1">
        <v>0.06</v>
      </c>
      <c r="I841" s="1">
        <v>262</v>
      </c>
      <c r="J841" t="s">
        <v>43</v>
      </c>
    </row>
    <row r="842" spans="1:10" x14ac:dyDescent="0.35">
      <c r="A842" t="s">
        <v>872</v>
      </c>
      <c r="B842" s="2">
        <v>43301</v>
      </c>
      <c r="C842" t="s">
        <v>15</v>
      </c>
      <c r="D842" t="s">
        <v>24</v>
      </c>
      <c r="E842" s="1">
        <v>18</v>
      </c>
      <c r="F842" s="1">
        <v>40</v>
      </c>
      <c r="G842" s="1">
        <v>720</v>
      </c>
      <c r="H842" s="1">
        <v>0.03</v>
      </c>
      <c r="I842" s="1">
        <v>22</v>
      </c>
      <c r="J842" t="s">
        <v>13</v>
      </c>
    </row>
    <row r="843" spans="1:10" x14ac:dyDescent="0.35">
      <c r="A843" t="s">
        <v>873</v>
      </c>
      <c r="B843" s="2">
        <v>43301</v>
      </c>
      <c r="C843" t="s">
        <v>11</v>
      </c>
      <c r="D843" t="s">
        <v>16</v>
      </c>
      <c r="E843" s="1">
        <v>16</v>
      </c>
      <c r="F843" s="1">
        <v>80</v>
      </c>
      <c r="G843" s="1">
        <v>1280</v>
      </c>
      <c r="H843" s="1">
        <v>0.04</v>
      </c>
      <c r="I843" s="1">
        <v>51</v>
      </c>
      <c r="J843" t="s">
        <v>17</v>
      </c>
    </row>
    <row r="844" spans="1:10" x14ac:dyDescent="0.35">
      <c r="A844" t="s">
        <v>874</v>
      </c>
      <c r="B844" s="2">
        <v>43301</v>
      </c>
      <c r="C844" t="s">
        <v>11</v>
      </c>
      <c r="D844" t="s">
        <v>27</v>
      </c>
      <c r="E844" s="1">
        <v>8</v>
      </c>
      <c r="F844" s="1">
        <v>80</v>
      </c>
      <c r="G844" s="1">
        <v>640</v>
      </c>
      <c r="H844" s="1">
        <v>0.06</v>
      </c>
      <c r="I844" s="1">
        <v>38</v>
      </c>
      <c r="J844" t="s">
        <v>20</v>
      </c>
    </row>
    <row r="845" spans="1:10" x14ac:dyDescent="0.35">
      <c r="A845" t="s">
        <v>875</v>
      </c>
      <c r="B845" s="2">
        <v>43301</v>
      </c>
      <c r="C845" t="s">
        <v>34</v>
      </c>
      <c r="D845" t="s">
        <v>27</v>
      </c>
      <c r="E845" s="1">
        <v>4</v>
      </c>
      <c r="F845" s="1">
        <v>150</v>
      </c>
      <c r="G845" s="1">
        <v>600</v>
      </c>
      <c r="H845" s="1">
        <v>0.12</v>
      </c>
      <c r="I845" s="1">
        <v>72</v>
      </c>
      <c r="J845" t="s">
        <v>22</v>
      </c>
    </row>
    <row r="846" spans="1:10" x14ac:dyDescent="0.35">
      <c r="A846" t="s">
        <v>876</v>
      </c>
      <c r="B846" s="2">
        <v>43301</v>
      </c>
      <c r="C846" t="s">
        <v>19</v>
      </c>
      <c r="D846" t="s">
        <v>24</v>
      </c>
      <c r="E846" s="1">
        <v>15</v>
      </c>
      <c r="F846" s="1">
        <v>230</v>
      </c>
      <c r="G846" s="1">
        <v>3450</v>
      </c>
      <c r="H846" s="1">
        <v>0.04</v>
      </c>
      <c r="I846" s="1">
        <v>138</v>
      </c>
      <c r="J846" t="s">
        <v>25</v>
      </c>
    </row>
    <row r="847" spans="1:10" x14ac:dyDescent="0.35">
      <c r="A847" t="s">
        <v>877</v>
      </c>
      <c r="B847" s="2">
        <v>43302</v>
      </c>
      <c r="C847" t="s">
        <v>30</v>
      </c>
      <c r="D847" t="s">
        <v>16</v>
      </c>
      <c r="E847" s="1">
        <v>7</v>
      </c>
      <c r="F847" s="1">
        <v>16</v>
      </c>
      <c r="G847" s="1">
        <v>112</v>
      </c>
      <c r="H847" s="1">
        <v>0.08</v>
      </c>
      <c r="I847" s="1">
        <v>9</v>
      </c>
      <c r="J847" t="s">
        <v>28</v>
      </c>
    </row>
    <row r="848" spans="1:10" x14ac:dyDescent="0.35">
      <c r="A848" t="s">
        <v>878</v>
      </c>
      <c r="B848" s="2">
        <v>43302</v>
      </c>
      <c r="C848" t="s">
        <v>15</v>
      </c>
      <c r="D848" t="s">
        <v>12</v>
      </c>
      <c r="E848" s="1">
        <v>18</v>
      </c>
      <c r="F848" s="1">
        <v>40</v>
      </c>
      <c r="G848" s="1">
        <v>720</v>
      </c>
      <c r="H848" s="1">
        <v>0.11</v>
      </c>
      <c r="I848" s="1">
        <v>79</v>
      </c>
      <c r="J848" t="s">
        <v>17</v>
      </c>
    </row>
    <row r="849" spans="1:10" x14ac:dyDescent="0.35">
      <c r="A849" t="s">
        <v>879</v>
      </c>
      <c r="B849" s="2">
        <v>43302</v>
      </c>
      <c r="C849" t="s">
        <v>15</v>
      </c>
      <c r="D849" t="s">
        <v>24</v>
      </c>
      <c r="E849" s="1">
        <v>4</v>
      </c>
      <c r="F849" s="1">
        <v>40</v>
      </c>
      <c r="G849" s="1">
        <v>160</v>
      </c>
      <c r="H849" s="1">
        <v>0.06</v>
      </c>
      <c r="I849" s="1">
        <v>10</v>
      </c>
      <c r="J849" t="s">
        <v>20</v>
      </c>
    </row>
    <row r="850" spans="1:10" x14ac:dyDescent="0.35">
      <c r="A850" t="s">
        <v>880</v>
      </c>
      <c r="B850" s="2">
        <v>43302</v>
      </c>
      <c r="C850" t="s">
        <v>15</v>
      </c>
      <c r="D850" t="s">
        <v>31</v>
      </c>
      <c r="E850" s="1">
        <v>16</v>
      </c>
      <c r="F850" s="1">
        <v>40</v>
      </c>
      <c r="G850" s="1">
        <v>640</v>
      </c>
      <c r="H850" s="1">
        <v>0.09</v>
      </c>
      <c r="I850" s="1">
        <v>58</v>
      </c>
      <c r="J850" t="s">
        <v>22</v>
      </c>
    </row>
    <row r="851" spans="1:10" x14ac:dyDescent="0.35">
      <c r="A851" t="s">
        <v>881</v>
      </c>
      <c r="B851" s="2">
        <v>43302</v>
      </c>
      <c r="C851" t="s">
        <v>15</v>
      </c>
      <c r="D851" t="s">
        <v>16</v>
      </c>
      <c r="E851" s="1">
        <v>18</v>
      </c>
      <c r="F851" s="1">
        <v>40</v>
      </c>
      <c r="G851" s="1">
        <v>720</v>
      </c>
      <c r="H851" s="1">
        <v>0.08</v>
      </c>
      <c r="I851" s="1">
        <v>58</v>
      </c>
      <c r="J851" t="s">
        <v>25</v>
      </c>
    </row>
    <row r="852" spans="1:10" x14ac:dyDescent="0.35">
      <c r="A852" t="s">
        <v>882</v>
      </c>
      <c r="B852" s="2">
        <v>43302</v>
      </c>
      <c r="C852" t="s">
        <v>15</v>
      </c>
      <c r="D852" t="s">
        <v>12</v>
      </c>
      <c r="E852" s="1">
        <v>9</v>
      </c>
      <c r="F852" s="1">
        <v>40</v>
      </c>
      <c r="G852" s="1">
        <v>360</v>
      </c>
      <c r="H852" s="1">
        <v>0.01</v>
      </c>
      <c r="I852" s="1">
        <v>4</v>
      </c>
      <c r="J852" t="s">
        <v>28</v>
      </c>
    </row>
    <row r="853" spans="1:10" x14ac:dyDescent="0.35">
      <c r="A853" t="s">
        <v>883</v>
      </c>
      <c r="B853" s="2">
        <v>43302</v>
      </c>
      <c r="C853" t="s">
        <v>19</v>
      </c>
      <c r="D853" t="s">
        <v>27</v>
      </c>
      <c r="E853" s="1">
        <v>16</v>
      </c>
      <c r="F853" s="1">
        <v>230</v>
      </c>
      <c r="G853" s="1">
        <v>3680</v>
      </c>
      <c r="H853" s="1">
        <v>0.11</v>
      </c>
      <c r="I853" s="1">
        <v>405</v>
      </c>
      <c r="J853" t="s">
        <v>32</v>
      </c>
    </row>
    <row r="854" spans="1:10" x14ac:dyDescent="0.35">
      <c r="A854" t="s">
        <v>884</v>
      </c>
      <c r="B854" s="2">
        <v>43302</v>
      </c>
      <c r="C854" t="s">
        <v>30</v>
      </c>
      <c r="D854" t="s">
        <v>24</v>
      </c>
      <c r="E854" s="1">
        <v>12</v>
      </c>
      <c r="F854" s="1">
        <v>16</v>
      </c>
      <c r="G854" s="1">
        <v>192</v>
      </c>
      <c r="H854" s="1">
        <v>0.11</v>
      </c>
      <c r="I854" s="1">
        <v>21</v>
      </c>
      <c r="J854" t="s">
        <v>35</v>
      </c>
    </row>
    <row r="855" spans="1:10" x14ac:dyDescent="0.35">
      <c r="A855" t="s">
        <v>885</v>
      </c>
      <c r="B855" s="2">
        <v>43302</v>
      </c>
      <c r="C855" t="s">
        <v>11</v>
      </c>
      <c r="D855" t="s">
        <v>16</v>
      </c>
      <c r="E855" s="1">
        <v>2</v>
      </c>
      <c r="F855" s="1">
        <v>80</v>
      </c>
      <c r="G855" s="1">
        <v>160</v>
      </c>
      <c r="H855" s="1">
        <v>7.0000000000000007E-2</v>
      </c>
      <c r="I855" s="1">
        <v>11</v>
      </c>
      <c r="J855" t="s">
        <v>37</v>
      </c>
    </row>
    <row r="856" spans="1:10" x14ac:dyDescent="0.35">
      <c r="A856" t="s">
        <v>886</v>
      </c>
      <c r="B856" s="2">
        <v>43302</v>
      </c>
      <c r="C856" t="s">
        <v>15</v>
      </c>
      <c r="D856" t="s">
        <v>12</v>
      </c>
      <c r="E856" s="1">
        <v>2</v>
      </c>
      <c r="F856" s="1">
        <v>40</v>
      </c>
      <c r="G856" s="1">
        <v>80</v>
      </c>
      <c r="H856" s="1">
        <v>0.12</v>
      </c>
      <c r="I856" s="1">
        <v>10</v>
      </c>
      <c r="J856" t="s">
        <v>39</v>
      </c>
    </row>
    <row r="857" spans="1:10" x14ac:dyDescent="0.35">
      <c r="A857" t="s">
        <v>887</v>
      </c>
      <c r="B857" s="2">
        <v>43303</v>
      </c>
      <c r="C857" t="s">
        <v>34</v>
      </c>
      <c r="D857" t="s">
        <v>12</v>
      </c>
      <c r="E857" s="1">
        <v>13</v>
      </c>
      <c r="F857" s="1">
        <v>150</v>
      </c>
      <c r="G857" s="1">
        <v>1950</v>
      </c>
      <c r="H857" s="1">
        <v>0.05</v>
      </c>
      <c r="I857" s="1">
        <v>98</v>
      </c>
      <c r="J857" t="s">
        <v>41</v>
      </c>
    </row>
    <row r="858" spans="1:10" x14ac:dyDescent="0.35">
      <c r="A858" t="s">
        <v>888</v>
      </c>
      <c r="B858" s="2">
        <v>43303</v>
      </c>
      <c r="C858" t="s">
        <v>11</v>
      </c>
      <c r="D858" t="s">
        <v>12</v>
      </c>
      <c r="E858" s="1">
        <v>14</v>
      </c>
      <c r="F858" s="1">
        <v>80</v>
      </c>
      <c r="G858" s="1">
        <v>1120</v>
      </c>
      <c r="H858" s="1">
        <v>0.08</v>
      </c>
      <c r="I858" s="1">
        <v>90</v>
      </c>
      <c r="J858" t="s">
        <v>43</v>
      </c>
    </row>
    <row r="859" spans="1:10" x14ac:dyDescent="0.35">
      <c r="A859" t="s">
        <v>889</v>
      </c>
      <c r="B859" s="2">
        <v>43303</v>
      </c>
      <c r="C859" t="s">
        <v>34</v>
      </c>
      <c r="D859" t="s">
        <v>27</v>
      </c>
      <c r="E859" s="1">
        <v>6</v>
      </c>
      <c r="F859" s="1">
        <v>150</v>
      </c>
      <c r="G859" s="1">
        <v>900</v>
      </c>
      <c r="H859" s="1">
        <v>0.03</v>
      </c>
      <c r="I859" s="1">
        <v>27</v>
      </c>
      <c r="J859" t="s">
        <v>13</v>
      </c>
    </row>
    <row r="860" spans="1:10" x14ac:dyDescent="0.35">
      <c r="A860" t="s">
        <v>890</v>
      </c>
      <c r="B860" s="2">
        <v>43303</v>
      </c>
      <c r="C860" t="s">
        <v>11</v>
      </c>
      <c r="D860" t="s">
        <v>27</v>
      </c>
      <c r="E860" s="1">
        <v>23</v>
      </c>
      <c r="F860" s="1">
        <v>80</v>
      </c>
      <c r="G860" s="1">
        <v>1840</v>
      </c>
      <c r="H860" s="1">
        <v>0.11</v>
      </c>
      <c r="I860" s="1">
        <v>202</v>
      </c>
      <c r="J860" t="s">
        <v>17</v>
      </c>
    </row>
    <row r="861" spans="1:10" x14ac:dyDescent="0.35">
      <c r="A861" t="s">
        <v>891</v>
      </c>
      <c r="B861" s="2">
        <v>43303</v>
      </c>
      <c r="C861" t="s">
        <v>11</v>
      </c>
      <c r="D861" t="s">
        <v>27</v>
      </c>
      <c r="E861" s="1">
        <v>21</v>
      </c>
      <c r="F861" s="1">
        <v>80</v>
      </c>
      <c r="G861" s="1">
        <v>1680</v>
      </c>
      <c r="H861" s="1">
        <v>0.05</v>
      </c>
      <c r="I861" s="1">
        <v>84</v>
      </c>
      <c r="J861" t="s">
        <v>20</v>
      </c>
    </row>
    <row r="862" spans="1:10" x14ac:dyDescent="0.35">
      <c r="A862" t="s">
        <v>892</v>
      </c>
      <c r="B862" s="2">
        <v>43303</v>
      </c>
      <c r="C862" t="s">
        <v>30</v>
      </c>
      <c r="D862" t="s">
        <v>24</v>
      </c>
      <c r="E862" s="1">
        <v>3</v>
      </c>
      <c r="F862" s="1">
        <v>16</v>
      </c>
      <c r="G862" s="1">
        <v>48</v>
      </c>
      <c r="H862" s="1">
        <v>0.05</v>
      </c>
      <c r="I862" s="1">
        <v>2</v>
      </c>
      <c r="J862" t="s">
        <v>22</v>
      </c>
    </row>
    <row r="863" spans="1:10" x14ac:dyDescent="0.35">
      <c r="A863" t="s">
        <v>893</v>
      </c>
      <c r="B863" s="2">
        <v>43303</v>
      </c>
      <c r="C863" t="s">
        <v>30</v>
      </c>
      <c r="D863" t="s">
        <v>16</v>
      </c>
      <c r="E863" s="1">
        <v>21</v>
      </c>
      <c r="F863" s="1">
        <v>16</v>
      </c>
      <c r="G863" s="1">
        <v>336</v>
      </c>
      <c r="H863" s="1">
        <v>0.02</v>
      </c>
      <c r="I863" s="1">
        <v>7</v>
      </c>
      <c r="J863" t="s">
        <v>25</v>
      </c>
    </row>
    <row r="864" spans="1:10" x14ac:dyDescent="0.35">
      <c r="A864" t="s">
        <v>894</v>
      </c>
      <c r="B864" s="2">
        <v>43303</v>
      </c>
      <c r="C864" t="s">
        <v>11</v>
      </c>
      <c r="D864" t="s">
        <v>27</v>
      </c>
      <c r="E864" s="1">
        <v>4</v>
      </c>
      <c r="F864" s="1">
        <v>80</v>
      </c>
      <c r="G864" s="1">
        <v>320</v>
      </c>
      <c r="H864" s="1">
        <v>0.11</v>
      </c>
      <c r="I864" s="1">
        <v>35</v>
      </c>
      <c r="J864" t="s">
        <v>28</v>
      </c>
    </row>
    <row r="865" spans="1:10" x14ac:dyDescent="0.35">
      <c r="A865" t="s">
        <v>895</v>
      </c>
      <c r="B865" s="2">
        <v>43303</v>
      </c>
      <c r="C865" t="s">
        <v>34</v>
      </c>
      <c r="D865" t="s">
        <v>31</v>
      </c>
      <c r="E865" s="1">
        <v>23</v>
      </c>
      <c r="F865" s="1">
        <v>150</v>
      </c>
      <c r="G865" s="1">
        <v>3450</v>
      </c>
      <c r="H865" s="1">
        <v>0.08</v>
      </c>
      <c r="I865" s="1">
        <v>276</v>
      </c>
      <c r="J865" t="s">
        <v>17</v>
      </c>
    </row>
    <row r="866" spans="1:10" x14ac:dyDescent="0.35">
      <c r="A866" t="s">
        <v>896</v>
      </c>
      <c r="B866" s="2">
        <v>43303</v>
      </c>
      <c r="C866" t="s">
        <v>30</v>
      </c>
      <c r="D866" t="s">
        <v>31</v>
      </c>
      <c r="E866" s="1">
        <v>23</v>
      </c>
      <c r="F866" s="1">
        <v>16</v>
      </c>
      <c r="G866" s="1">
        <v>368</v>
      </c>
      <c r="H866" s="1">
        <v>0.01</v>
      </c>
      <c r="I866" s="1">
        <v>4</v>
      </c>
      <c r="J866" t="s">
        <v>20</v>
      </c>
    </row>
    <row r="867" spans="1:10" x14ac:dyDescent="0.35">
      <c r="A867" t="s">
        <v>897</v>
      </c>
      <c r="B867" s="2">
        <v>43303</v>
      </c>
      <c r="C867" t="s">
        <v>15</v>
      </c>
      <c r="D867" t="s">
        <v>27</v>
      </c>
      <c r="E867" s="1">
        <v>22</v>
      </c>
      <c r="F867" s="1">
        <v>40</v>
      </c>
      <c r="G867" s="1">
        <v>880</v>
      </c>
      <c r="H867" s="1">
        <v>0.01</v>
      </c>
      <c r="I867" s="1">
        <v>9</v>
      </c>
      <c r="J867" t="s">
        <v>22</v>
      </c>
    </row>
    <row r="868" spans="1:10" x14ac:dyDescent="0.35">
      <c r="A868" t="s">
        <v>898</v>
      </c>
      <c r="B868" s="2">
        <v>43304</v>
      </c>
      <c r="C868" t="s">
        <v>34</v>
      </c>
      <c r="D868" t="s">
        <v>12</v>
      </c>
      <c r="E868" s="1">
        <v>8</v>
      </c>
      <c r="F868" s="1">
        <v>150</v>
      </c>
      <c r="G868" s="1">
        <v>1200</v>
      </c>
      <c r="H868" s="1">
        <v>0.09</v>
      </c>
      <c r="I868" s="1">
        <v>108</v>
      </c>
      <c r="J868" t="s">
        <v>25</v>
      </c>
    </row>
    <row r="869" spans="1:10" x14ac:dyDescent="0.35">
      <c r="A869" t="s">
        <v>899</v>
      </c>
      <c r="B869" s="2">
        <v>43304</v>
      </c>
      <c r="C869" t="s">
        <v>34</v>
      </c>
      <c r="D869" t="s">
        <v>12</v>
      </c>
      <c r="E869" s="1">
        <v>20</v>
      </c>
      <c r="F869" s="1">
        <v>150</v>
      </c>
      <c r="G869" s="1">
        <v>3000</v>
      </c>
      <c r="H869" s="1">
        <v>0.01</v>
      </c>
      <c r="I869" s="1">
        <v>30</v>
      </c>
      <c r="J869" t="s">
        <v>28</v>
      </c>
    </row>
    <row r="870" spans="1:10" x14ac:dyDescent="0.35">
      <c r="A870" t="s">
        <v>900</v>
      </c>
      <c r="B870" s="2">
        <v>43304</v>
      </c>
      <c r="C870" t="s">
        <v>19</v>
      </c>
      <c r="D870" t="s">
        <v>16</v>
      </c>
      <c r="E870" s="1">
        <v>22</v>
      </c>
      <c r="F870" s="1">
        <v>230</v>
      </c>
      <c r="G870" s="1">
        <v>5060</v>
      </c>
      <c r="H870" s="1">
        <v>0.11</v>
      </c>
      <c r="I870" s="1">
        <v>557</v>
      </c>
      <c r="J870" t="s">
        <v>32</v>
      </c>
    </row>
    <row r="871" spans="1:10" x14ac:dyDescent="0.35">
      <c r="A871" t="s">
        <v>901</v>
      </c>
      <c r="B871" s="2">
        <v>43304</v>
      </c>
      <c r="C871" t="s">
        <v>30</v>
      </c>
      <c r="D871" t="s">
        <v>24</v>
      </c>
      <c r="E871" s="1">
        <v>23</v>
      </c>
      <c r="F871" s="1">
        <v>16</v>
      </c>
      <c r="G871" s="1">
        <v>368</v>
      </c>
      <c r="H871" s="1">
        <v>0.11</v>
      </c>
      <c r="I871" s="1">
        <v>40</v>
      </c>
      <c r="J871" t="s">
        <v>35</v>
      </c>
    </row>
    <row r="872" spans="1:10" x14ac:dyDescent="0.35">
      <c r="A872" t="s">
        <v>902</v>
      </c>
      <c r="B872" s="2">
        <v>43304</v>
      </c>
      <c r="C872" t="s">
        <v>11</v>
      </c>
      <c r="D872" t="s">
        <v>12</v>
      </c>
      <c r="E872" s="1">
        <v>6</v>
      </c>
      <c r="F872" s="1">
        <v>80</v>
      </c>
      <c r="G872" s="1">
        <v>480</v>
      </c>
      <c r="H872" s="1">
        <v>0.01</v>
      </c>
      <c r="I872" s="1">
        <v>5</v>
      </c>
      <c r="J872" t="s">
        <v>37</v>
      </c>
    </row>
    <row r="873" spans="1:10" x14ac:dyDescent="0.35">
      <c r="A873" t="s">
        <v>903</v>
      </c>
      <c r="B873" s="2">
        <v>43304</v>
      </c>
      <c r="C873" t="s">
        <v>30</v>
      </c>
      <c r="D873" t="s">
        <v>12</v>
      </c>
      <c r="E873" s="1">
        <v>7</v>
      </c>
      <c r="F873" s="1">
        <v>16</v>
      </c>
      <c r="G873" s="1">
        <v>112</v>
      </c>
      <c r="H873" s="1">
        <v>0.12</v>
      </c>
      <c r="I873" s="1">
        <v>13</v>
      </c>
      <c r="J873" t="s">
        <v>39</v>
      </c>
    </row>
    <row r="874" spans="1:10" x14ac:dyDescent="0.35">
      <c r="A874" t="s">
        <v>904</v>
      </c>
      <c r="B874" s="2">
        <v>43304</v>
      </c>
      <c r="C874" t="s">
        <v>11</v>
      </c>
      <c r="D874" t="s">
        <v>16</v>
      </c>
      <c r="E874" s="1">
        <v>10</v>
      </c>
      <c r="F874" s="1">
        <v>80</v>
      </c>
      <c r="G874" s="1">
        <v>800</v>
      </c>
      <c r="H874" s="1">
        <v>0.11</v>
      </c>
      <c r="I874" s="1">
        <v>88</v>
      </c>
      <c r="J874" t="s">
        <v>41</v>
      </c>
    </row>
    <row r="875" spans="1:10" x14ac:dyDescent="0.35">
      <c r="A875" t="s">
        <v>905</v>
      </c>
      <c r="B875" s="2">
        <v>43304</v>
      </c>
      <c r="C875" t="s">
        <v>19</v>
      </c>
      <c r="D875" t="s">
        <v>12</v>
      </c>
      <c r="E875" s="1">
        <v>9</v>
      </c>
      <c r="F875" s="1">
        <v>230</v>
      </c>
      <c r="G875" s="1">
        <v>2070</v>
      </c>
      <c r="H875" s="1">
        <v>7.0000000000000007E-2</v>
      </c>
      <c r="I875" s="1">
        <v>145</v>
      </c>
      <c r="J875" t="s">
        <v>43</v>
      </c>
    </row>
    <row r="876" spans="1:10" x14ac:dyDescent="0.35">
      <c r="A876" t="s">
        <v>906</v>
      </c>
      <c r="B876" s="2">
        <v>43305</v>
      </c>
      <c r="C876" t="s">
        <v>15</v>
      </c>
      <c r="D876" t="s">
        <v>16</v>
      </c>
      <c r="E876" s="1">
        <v>12</v>
      </c>
      <c r="F876" s="1">
        <v>40</v>
      </c>
      <c r="G876" s="1">
        <v>480</v>
      </c>
      <c r="H876" s="1">
        <v>0.1</v>
      </c>
      <c r="I876" s="1">
        <v>48</v>
      </c>
      <c r="J876" t="s">
        <v>13</v>
      </c>
    </row>
    <row r="877" spans="1:10" x14ac:dyDescent="0.35">
      <c r="A877" t="s">
        <v>907</v>
      </c>
      <c r="B877" s="2">
        <v>43305</v>
      </c>
      <c r="C877" t="s">
        <v>30</v>
      </c>
      <c r="D877" t="s">
        <v>31</v>
      </c>
      <c r="E877" s="1">
        <v>17</v>
      </c>
      <c r="F877" s="1">
        <v>16</v>
      </c>
      <c r="G877" s="1">
        <v>272</v>
      </c>
      <c r="H877" s="1">
        <v>0.1</v>
      </c>
      <c r="I877" s="1">
        <v>27</v>
      </c>
      <c r="J877" t="s">
        <v>17</v>
      </c>
    </row>
    <row r="878" spans="1:10" x14ac:dyDescent="0.35">
      <c r="A878" t="s">
        <v>908</v>
      </c>
      <c r="B878" s="2">
        <v>43305</v>
      </c>
      <c r="C878" t="s">
        <v>34</v>
      </c>
      <c r="D878" t="s">
        <v>24</v>
      </c>
      <c r="E878" s="1">
        <v>22</v>
      </c>
      <c r="F878" s="1">
        <v>150</v>
      </c>
      <c r="G878" s="1">
        <v>3300</v>
      </c>
      <c r="H878" s="1">
        <v>0.04</v>
      </c>
      <c r="I878" s="1">
        <v>132</v>
      </c>
      <c r="J878" t="s">
        <v>20</v>
      </c>
    </row>
    <row r="879" spans="1:10" x14ac:dyDescent="0.35">
      <c r="A879" t="s">
        <v>909</v>
      </c>
      <c r="B879" s="2">
        <v>43305</v>
      </c>
      <c r="C879" t="s">
        <v>34</v>
      </c>
      <c r="D879" t="s">
        <v>24</v>
      </c>
      <c r="E879" s="1">
        <v>11</v>
      </c>
      <c r="F879" s="1">
        <v>150</v>
      </c>
      <c r="G879" s="1">
        <v>1650</v>
      </c>
      <c r="H879" s="1">
        <v>0.05</v>
      </c>
      <c r="I879" s="1">
        <v>82</v>
      </c>
      <c r="J879" t="s">
        <v>22</v>
      </c>
    </row>
    <row r="880" spans="1:10" x14ac:dyDescent="0.35">
      <c r="A880" t="s">
        <v>910</v>
      </c>
      <c r="B880" s="2">
        <v>43305</v>
      </c>
      <c r="C880" t="s">
        <v>11</v>
      </c>
      <c r="D880" t="s">
        <v>31</v>
      </c>
      <c r="E880" s="1">
        <v>9</v>
      </c>
      <c r="F880" s="1">
        <v>80</v>
      </c>
      <c r="G880" s="1">
        <v>720</v>
      </c>
      <c r="H880" s="1">
        <v>0.02</v>
      </c>
      <c r="I880" s="1">
        <v>14</v>
      </c>
      <c r="J880" t="s">
        <v>25</v>
      </c>
    </row>
    <row r="881" spans="1:10" x14ac:dyDescent="0.35">
      <c r="A881" t="s">
        <v>911</v>
      </c>
      <c r="B881" s="2">
        <v>43305</v>
      </c>
      <c r="C881" t="s">
        <v>11</v>
      </c>
      <c r="D881" t="s">
        <v>31</v>
      </c>
      <c r="E881" s="1">
        <v>13</v>
      </c>
      <c r="F881" s="1">
        <v>80</v>
      </c>
      <c r="G881" s="1">
        <v>1040</v>
      </c>
      <c r="H881" s="1">
        <v>0.05</v>
      </c>
      <c r="I881" s="1">
        <v>52</v>
      </c>
      <c r="J881" t="s">
        <v>28</v>
      </c>
    </row>
    <row r="882" spans="1:10" x14ac:dyDescent="0.35">
      <c r="A882" t="s">
        <v>912</v>
      </c>
      <c r="B882" s="2">
        <v>43305</v>
      </c>
      <c r="C882" t="s">
        <v>15</v>
      </c>
      <c r="D882" t="s">
        <v>31</v>
      </c>
      <c r="E882" s="1">
        <v>20</v>
      </c>
      <c r="F882" s="1">
        <v>40</v>
      </c>
      <c r="G882" s="1">
        <v>800</v>
      </c>
      <c r="H882" s="1">
        <v>0.1</v>
      </c>
      <c r="I882" s="1">
        <v>80</v>
      </c>
      <c r="J882" t="s">
        <v>17</v>
      </c>
    </row>
    <row r="883" spans="1:10" x14ac:dyDescent="0.35">
      <c r="A883" t="s">
        <v>913</v>
      </c>
      <c r="B883" s="2">
        <v>43305</v>
      </c>
      <c r="C883" t="s">
        <v>15</v>
      </c>
      <c r="D883" t="s">
        <v>16</v>
      </c>
      <c r="E883" s="1">
        <v>15</v>
      </c>
      <c r="F883" s="1">
        <v>40</v>
      </c>
      <c r="G883" s="1">
        <v>600</v>
      </c>
      <c r="H883" s="1">
        <v>0.02</v>
      </c>
      <c r="I883" s="1">
        <v>12</v>
      </c>
      <c r="J883" t="s">
        <v>20</v>
      </c>
    </row>
    <row r="884" spans="1:10" x14ac:dyDescent="0.35">
      <c r="A884" t="s">
        <v>914</v>
      </c>
      <c r="B884" s="2">
        <v>43306</v>
      </c>
      <c r="C884" t="s">
        <v>34</v>
      </c>
      <c r="D884" t="s">
        <v>31</v>
      </c>
      <c r="E884" s="1">
        <v>15</v>
      </c>
      <c r="F884" s="1">
        <v>150</v>
      </c>
      <c r="G884" s="1">
        <v>2250</v>
      </c>
      <c r="H884" s="1">
        <v>7.0000000000000007E-2</v>
      </c>
      <c r="I884" s="1">
        <v>158</v>
      </c>
      <c r="J884" t="s">
        <v>22</v>
      </c>
    </row>
    <row r="885" spans="1:10" x14ac:dyDescent="0.35">
      <c r="A885" t="s">
        <v>915</v>
      </c>
      <c r="B885" s="2">
        <v>43306</v>
      </c>
      <c r="C885" t="s">
        <v>11</v>
      </c>
      <c r="D885" t="s">
        <v>31</v>
      </c>
      <c r="E885" s="1">
        <v>16</v>
      </c>
      <c r="F885" s="1">
        <v>80</v>
      </c>
      <c r="G885" s="1">
        <v>1280</v>
      </c>
      <c r="H885" s="1">
        <v>0.09</v>
      </c>
      <c r="I885" s="1">
        <v>115</v>
      </c>
      <c r="J885" t="s">
        <v>25</v>
      </c>
    </row>
    <row r="886" spans="1:10" x14ac:dyDescent="0.35">
      <c r="A886" t="s">
        <v>916</v>
      </c>
      <c r="B886" s="2">
        <v>43306</v>
      </c>
      <c r="C886" t="s">
        <v>19</v>
      </c>
      <c r="D886" t="s">
        <v>12</v>
      </c>
      <c r="E886" s="1">
        <v>16</v>
      </c>
      <c r="F886" s="1">
        <v>230</v>
      </c>
      <c r="G886" s="1">
        <v>3680</v>
      </c>
      <c r="H886" s="1">
        <v>7.0000000000000007E-2</v>
      </c>
      <c r="I886" s="1">
        <v>258</v>
      </c>
      <c r="J886" t="s">
        <v>28</v>
      </c>
    </row>
    <row r="887" spans="1:10" x14ac:dyDescent="0.35">
      <c r="A887" t="s">
        <v>917</v>
      </c>
      <c r="B887" s="2">
        <v>43306</v>
      </c>
      <c r="C887" t="s">
        <v>11</v>
      </c>
      <c r="D887" t="s">
        <v>16</v>
      </c>
      <c r="E887" s="1">
        <v>14</v>
      </c>
      <c r="F887" s="1">
        <v>80</v>
      </c>
      <c r="G887" s="1">
        <v>1120</v>
      </c>
      <c r="H887" s="1">
        <v>0.11</v>
      </c>
      <c r="I887" s="1">
        <v>123</v>
      </c>
      <c r="J887" t="s">
        <v>32</v>
      </c>
    </row>
    <row r="888" spans="1:10" x14ac:dyDescent="0.35">
      <c r="A888" t="s">
        <v>918</v>
      </c>
      <c r="B888" s="2">
        <v>43306</v>
      </c>
      <c r="C888" t="s">
        <v>11</v>
      </c>
      <c r="D888" t="s">
        <v>31</v>
      </c>
      <c r="E888" s="1">
        <v>17</v>
      </c>
      <c r="F888" s="1">
        <v>80</v>
      </c>
      <c r="G888" s="1">
        <v>1360</v>
      </c>
      <c r="H888" s="1">
        <v>7.0000000000000007E-2</v>
      </c>
      <c r="I888" s="1">
        <v>95</v>
      </c>
      <c r="J888" t="s">
        <v>35</v>
      </c>
    </row>
    <row r="889" spans="1:10" x14ac:dyDescent="0.35">
      <c r="A889" t="s">
        <v>919</v>
      </c>
      <c r="B889" s="2">
        <v>43306</v>
      </c>
      <c r="C889" t="s">
        <v>11</v>
      </c>
      <c r="D889" t="s">
        <v>24</v>
      </c>
      <c r="E889" s="1">
        <v>16</v>
      </c>
      <c r="F889" s="1">
        <v>80</v>
      </c>
      <c r="G889" s="1">
        <v>1280</v>
      </c>
      <c r="H889" s="1">
        <v>0.02</v>
      </c>
      <c r="I889" s="1">
        <v>26</v>
      </c>
      <c r="J889" t="s">
        <v>37</v>
      </c>
    </row>
    <row r="890" spans="1:10" x14ac:dyDescent="0.35">
      <c r="A890" t="s">
        <v>920</v>
      </c>
      <c r="B890" s="2">
        <v>43306</v>
      </c>
      <c r="C890" t="s">
        <v>30</v>
      </c>
      <c r="D890" t="s">
        <v>12</v>
      </c>
      <c r="E890" s="1">
        <v>21</v>
      </c>
      <c r="F890" s="1">
        <v>16</v>
      </c>
      <c r="G890" s="1">
        <v>336</v>
      </c>
      <c r="H890" s="1">
        <v>0.09</v>
      </c>
      <c r="I890" s="1">
        <v>30</v>
      </c>
      <c r="J890" t="s">
        <v>39</v>
      </c>
    </row>
    <row r="891" spans="1:10" x14ac:dyDescent="0.35">
      <c r="A891" t="s">
        <v>921</v>
      </c>
      <c r="B891" s="2">
        <v>43306</v>
      </c>
      <c r="C891" t="s">
        <v>34</v>
      </c>
      <c r="D891" t="s">
        <v>12</v>
      </c>
      <c r="E891" s="1">
        <v>9</v>
      </c>
      <c r="F891" s="1">
        <v>150</v>
      </c>
      <c r="G891" s="1">
        <v>1350</v>
      </c>
      <c r="H891" s="1">
        <v>0.1</v>
      </c>
      <c r="I891" s="1">
        <v>135</v>
      </c>
      <c r="J891" t="s">
        <v>41</v>
      </c>
    </row>
    <row r="892" spans="1:10" x14ac:dyDescent="0.35">
      <c r="A892" t="s">
        <v>922</v>
      </c>
      <c r="B892" s="2">
        <v>43306</v>
      </c>
      <c r="C892" t="s">
        <v>34</v>
      </c>
      <c r="D892" t="s">
        <v>27</v>
      </c>
      <c r="E892" s="1">
        <v>3</v>
      </c>
      <c r="F892" s="1">
        <v>150</v>
      </c>
      <c r="G892" s="1">
        <v>450</v>
      </c>
      <c r="H892" s="1">
        <v>0.01</v>
      </c>
      <c r="I892" s="1">
        <v>4</v>
      </c>
      <c r="J892" t="s">
        <v>43</v>
      </c>
    </row>
    <row r="893" spans="1:10" x14ac:dyDescent="0.35">
      <c r="A893" t="s">
        <v>923</v>
      </c>
      <c r="B893" s="2">
        <v>43307</v>
      </c>
      <c r="C893" t="s">
        <v>11</v>
      </c>
      <c r="D893" t="s">
        <v>16</v>
      </c>
      <c r="E893" s="1">
        <v>14</v>
      </c>
      <c r="F893" s="1">
        <v>80</v>
      </c>
      <c r="G893" s="1">
        <v>1120</v>
      </c>
      <c r="H893" s="1">
        <v>0.06</v>
      </c>
      <c r="I893" s="1">
        <v>67</v>
      </c>
      <c r="J893" t="s">
        <v>13</v>
      </c>
    </row>
    <row r="894" spans="1:10" x14ac:dyDescent="0.35">
      <c r="A894" t="s">
        <v>924</v>
      </c>
      <c r="B894" s="2">
        <v>43307</v>
      </c>
      <c r="C894" t="s">
        <v>34</v>
      </c>
      <c r="D894" t="s">
        <v>31</v>
      </c>
      <c r="E894" s="1">
        <v>4</v>
      </c>
      <c r="F894" s="1">
        <v>150</v>
      </c>
      <c r="G894" s="1">
        <v>600</v>
      </c>
      <c r="H894" s="1">
        <v>0.05</v>
      </c>
      <c r="I894" s="1">
        <v>30</v>
      </c>
      <c r="J894" t="s">
        <v>17</v>
      </c>
    </row>
    <row r="895" spans="1:10" x14ac:dyDescent="0.35">
      <c r="A895" t="s">
        <v>925</v>
      </c>
      <c r="B895" s="2">
        <v>43307</v>
      </c>
      <c r="C895" t="s">
        <v>30</v>
      </c>
      <c r="D895" t="s">
        <v>16</v>
      </c>
      <c r="E895" s="1">
        <v>20</v>
      </c>
      <c r="F895" s="1">
        <v>16</v>
      </c>
      <c r="G895" s="1">
        <v>320</v>
      </c>
      <c r="H895" s="1">
        <v>0.06</v>
      </c>
      <c r="I895" s="1">
        <v>19</v>
      </c>
      <c r="J895" t="s">
        <v>20</v>
      </c>
    </row>
    <row r="896" spans="1:10" x14ac:dyDescent="0.35">
      <c r="A896" t="s">
        <v>926</v>
      </c>
      <c r="B896" s="2">
        <v>43307</v>
      </c>
      <c r="C896" t="s">
        <v>19</v>
      </c>
      <c r="D896" t="s">
        <v>24</v>
      </c>
      <c r="E896" s="1">
        <v>7</v>
      </c>
      <c r="F896" s="1">
        <v>230</v>
      </c>
      <c r="G896" s="1">
        <v>1610</v>
      </c>
      <c r="H896" s="1">
        <v>0.01</v>
      </c>
      <c r="I896" s="1">
        <v>16</v>
      </c>
      <c r="J896" t="s">
        <v>22</v>
      </c>
    </row>
    <row r="897" spans="1:10" x14ac:dyDescent="0.35">
      <c r="A897" t="s">
        <v>927</v>
      </c>
      <c r="B897" s="2">
        <v>43307</v>
      </c>
      <c r="C897" t="s">
        <v>11</v>
      </c>
      <c r="D897" t="s">
        <v>16</v>
      </c>
      <c r="E897" s="1">
        <v>9</v>
      </c>
      <c r="F897" s="1">
        <v>80</v>
      </c>
      <c r="G897" s="1">
        <v>720</v>
      </c>
      <c r="H897" s="1">
        <v>0.03</v>
      </c>
      <c r="I897" s="1">
        <v>22</v>
      </c>
      <c r="J897" t="s">
        <v>25</v>
      </c>
    </row>
    <row r="898" spans="1:10" x14ac:dyDescent="0.35">
      <c r="A898" t="s">
        <v>928</v>
      </c>
      <c r="B898" s="2">
        <v>43307</v>
      </c>
      <c r="C898" t="s">
        <v>15</v>
      </c>
      <c r="D898" t="s">
        <v>27</v>
      </c>
      <c r="E898" s="1">
        <v>4</v>
      </c>
      <c r="F898" s="1">
        <v>40</v>
      </c>
      <c r="G898" s="1">
        <v>160</v>
      </c>
      <c r="H898" s="1">
        <v>0.05</v>
      </c>
      <c r="I898" s="1">
        <v>8</v>
      </c>
      <c r="J898" t="s">
        <v>28</v>
      </c>
    </row>
    <row r="899" spans="1:10" x14ac:dyDescent="0.35">
      <c r="A899" t="s">
        <v>929</v>
      </c>
      <c r="B899" s="2">
        <v>43307</v>
      </c>
      <c r="C899" t="s">
        <v>11</v>
      </c>
      <c r="D899" t="s">
        <v>12</v>
      </c>
      <c r="E899" s="1">
        <v>6</v>
      </c>
      <c r="F899" s="1">
        <v>80</v>
      </c>
      <c r="G899" s="1">
        <v>480</v>
      </c>
      <c r="H899" s="1">
        <v>7.0000000000000007E-2</v>
      </c>
      <c r="I899" s="1">
        <v>34</v>
      </c>
      <c r="J899" t="s">
        <v>17</v>
      </c>
    </row>
    <row r="900" spans="1:10" x14ac:dyDescent="0.35">
      <c r="A900" t="s">
        <v>930</v>
      </c>
      <c r="B900" s="2">
        <v>43307</v>
      </c>
      <c r="C900" t="s">
        <v>30</v>
      </c>
      <c r="D900" t="s">
        <v>24</v>
      </c>
      <c r="E900" s="1">
        <v>8</v>
      </c>
      <c r="F900" s="1">
        <v>16</v>
      </c>
      <c r="G900" s="1">
        <v>128</v>
      </c>
      <c r="H900" s="1">
        <v>0.03</v>
      </c>
      <c r="I900" s="1">
        <v>4</v>
      </c>
      <c r="J900" t="s">
        <v>20</v>
      </c>
    </row>
    <row r="901" spans="1:10" x14ac:dyDescent="0.35">
      <c r="A901" t="s">
        <v>931</v>
      </c>
      <c r="B901" s="2">
        <v>43307</v>
      </c>
      <c r="C901" t="s">
        <v>30</v>
      </c>
      <c r="D901" t="s">
        <v>12</v>
      </c>
      <c r="E901" s="1">
        <v>10</v>
      </c>
      <c r="F901" s="1">
        <v>16</v>
      </c>
      <c r="G901" s="1">
        <v>160</v>
      </c>
      <c r="H901" s="1">
        <v>0.08</v>
      </c>
      <c r="I901" s="1">
        <v>13</v>
      </c>
      <c r="J901" t="s">
        <v>22</v>
      </c>
    </row>
    <row r="902" spans="1:10" x14ac:dyDescent="0.35">
      <c r="A902" t="s">
        <v>932</v>
      </c>
      <c r="B902" s="2">
        <v>43307</v>
      </c>
      <c r="C902" t="s">
        <v>30</v>
      </c>
      <c r="D902" t="s">
        <v>27</v>
      </c>
      <c r="E902" s="1">
        <v>22</v>
      </c>
      <c r="F902" s="1">
        <v>16</v>
      </c>
      <c r="G902" s="1">
        <v>352</v>
      </c>
      <c r="H902" s="1">
        <v>0.03</v>
      </c>
      <c r="I902" s="1">
        <v>11</v>
      </c>
      <c r="J902" t="s">
        <v>25</v>
      </c>
    </row>
    <row r="903" spans="1:10" x14ac:dyDescent="0.35">
      <c r="A903" t="s">
        <v>933</v>
      </c>
      <c r="B903" s="2">
        <v>43307</v>
      </c>
      <c r="C903" t="s">
        <v>11</v>
      </c>
      <c r="D903" t="s">
        <v>27</v>
      </c>
      <c r="E903" s="1">
        <v>11</v>
      </c>
      <c r="F903" s="1">
        <v>80</v>
      </c>
      <c r="G903" s="1">
        <v>880</v>
      </c>
      <c r="H903" s="1">
        <v>0.01</v>
      </c>
      <c r="I903" s="1">
        <v>9</v>
      </c>
      <c r="J903" t="s">
        <v>28</v>
      </c>
    </row>
    <row r="904" spans="1:10" x14ac:dyDescent="0.35">
      <c r="A904" t="s">
        <v>934</v>
      </c>
      <c r="B904" s="2">
        <v>43307</v>
      </c>
      <c r="C904" t="s">
        <v>30</v>
      </c>
      <c r="D904" t="s">
        <v>27</v>
      </c>
      <c r="E904" s="1">
        <v>7</v>
      </c>
      <c r="F904" s="1">
        <v>16</v>
      </c>
      <c r="G904" s="1">
        <v>112</v>
      </c>
      <c r="H904" s="1">
        <v>0.08</v>
      </c>
      <c r="I904" s="1">
        <v>9</v>
      </c>
      <c r="J904" t="s">
        <v>32</v>
      </c>
    </row>
    <row r="905" spans="1:10" x14ac:dyDescent="0.35">
      <c r="A905" t="s">
        <v>935</v>
      </c>
      <c r="B905" s="2">
        <v>43308</v>
      </c>
      <c r="C905" t="s">
        <v>30</v>
      </c>
      <c r="D905" t="s">
        <v>24</v>
      </c>
      <c r="E905" s="1">
        <v>11</v>
      </c>
      <c r="F905" s="1">
        <v>16</v>
      </c>
      <c r="G905" s="1">
        <v>176</v>
      </c>
      <c r="H905" s="1">
        <v>0.12</v>
      </c>
      <c r="I905" s="1">
        <v>21</v>
      </c>
      <c r="J905" t="s">
        <v>35</v>
      </c>
    </row>
    <row r="906" spans="1:10" x14ac:dyDescent="0.35">
      <c r="A906" t="s">
        <v>936</v>
      </c>
      <c r="B906" s="2">
        <v>43308</v>
      </c>
      <c r="C906" t="s">
        <v>15</v>
      </c>
      <c r="D906" t="s">
        <v>31</v>
      </c>
      <c r="E906" s="1">
        <v>7</v>
      </c>
      <c r="F906" s="1">
        <v>40</v>
      </c>
      <c r="G906" s="1">
        <v>280</v>
      </c>
      <c r="H906" s="1">
        <v>0.05</v>
      </c>
      <c r="I906" s="1">
        <v>14</v>
      </c>
      <c r="J906" t="s">
        <v>37</v>
      </c>
    </row>
    <row r="907" spans="1:10" x14ac:dyDescent="0.35">
      <c r="A907" t="s">
        <v>937</v>
      </c>
      <c r="B907" s="2">
        <v>43308</v>
      </c>
      <c r="C907" t="s">
        <v>34</v>
      </c>
      <c r="D907" t="s">
        <v>24</v>
      </c>
      <c r="E907" s="1">
        <v>9</v>
      </c>
      <c r="F907" s="1">
        <v>150</v>
      </c>
      <c r="G907" s="1">
        <v>1350</v>
      </c>
      <c r="H907" s="1">
        <v>0.06</v>
      </c>
      <c r="I907" s="1">
        <v>81</v>
      </c>
      <c r="J907" t="s">
        <v>39</v>
      </c>
    </row>
    <row r="908" spans="1:10" x14ac:dyDescent="0.35">
      <c r="A908" t="s">
        <v>938</v>
      </c>
      <c r="B908" s="2">
        <v>43308</v>
      </c>
      <c r="C908" t="s">
        <v>19</v>
      </c>
      <c r="D908" t="s">
        <v>12</v>
      </c>
      <c r="E908" s="1">
        <v>20</v>
      </c>
      <c r="F908" s="1">
        <v>230</v>
      </c>
      <c r="G908" s="1">
        <v>4600</v>
      </c>
      <c r="H908" s="1">
        <v>0.04</v>
      </c>
      <c r="I908" s="1">
        <v>184</v>
      </c>
      <c r="J908" t="s">
        <v>41</v>
      </c>
    </row>
    <row r="909" spans="1:10" x14ac:dyDescent="0.35">
      <c r="A909" t="s">
        <v>939</v>
      </c>
      <c r="B909" s="2">
        <v>43308</v>
      </c>
      <c r="C909" t="s">
        <v>34</v>
      </c>
      <c r="D909" t="s">
        <v>24</v>
      </c>
      <c r="E909" s="1">
        <v>9</v>
      </c>
      <c r="F909" s="1">
        <v>150</v>
      </c>
      <c r="G909" s="1">
        <v>1350</v>
      </c>
      <c r="H909" s="1">
        <v>0.02</v>
      </c>
      <c r="I909" s="1">
        <v>27</v>
      </c>
      <c r="J909" t="s">
        <v>43</v>
      </c>
    </row>
    <row r="910" spans="1:10" x14ac:dyDescent="0.35">
      <c r="A910" t="s">
        <v>940</v>
      </c>
      <c r="B910" s="2">
        <v>43308</v>
      </c>
      <c r="C910" t="s">
        <v>11</v>
      </c>
      <c r="D910" t="s">
        <v>16</v>
      </c>
      <c r="E910" s="1">
        <v>5</v>
      </c>
      <c r="F910" s="1">
        <v>80</v>
      </c>
      <c r="G910" s="1">
        <v>400</v>
      </c>
      <c r="H910" s="1">
        <v>7.0000000000000007E-2</v>
      </c>
      <c r="I910" s="1">
        <v>28</v>
      </c>
      <c r="J910" t="s">
        <v>13</v>
      </c>
    </row>
    <row r="911" spans="1:10" x14ac:dyDescent="0.35">
      <c r="A911" t="s">
        <v>941</v>
      </c>
      <c r="B911" s="2">
        <v>43308</v>
      </c>
      <c r="C911" t="s">
        <v>34</v>
      </c>
      <c r="D911" t="s">
        <v>24</v>
      </c>
      <c r="E911" s="1">
        <v>20</v>
      </c>
      <c r="F911" s="1">
        <v>150</v>
      </c>
      <c r="G911" s="1">
        <v>3000</v>
      </c>
      <c r="H911" s="1">
        <v>0.04</v>
      </c>
      <c r="I911" s="1">
        <v>120</v>
      </c>
      <c r="J911" t="s">
        <v>17</v>
      </c>
    </row>
    <row r="912" spans="1:10" x14ac:dyDescent="0.35">
      <c r="A912" t="s">
        <v>942</v>
      </c>
      <c r="B912" s="2">
        <v>43308</v>
      </c>
      <c r="C912" t="s">
        <v>34</v>
      </c>
      <c r="D912" t="s">
        <v>27</v>
      </c>
      <c r="E912" s="1">
        <v>15</v>
      </c>
      <c r="F912" s="1">
        <v>150</v>
      </c>
      <c r="G912" s="1">
        <v>2250</v>
      </c>
      <c r="H912" s="1">
        <v>0.05</v>
      </c>
      <c r="I912" s="1">
        <v>112</v>
      </c>
      <c r="J912" t="s">
        <v>20</v>
      </c>
    </row>
    <row r="913" spans="1:10" x14ac:dyDescent="0.35">
      <c r="A913" t="s">
        <v>943</v>
      </c>
      <c r="B913" s="2">
        <v>43308</v>
      </c>
      <c r="C913" t="s">
        <v>11</v>
      </c>
      <c r="D913" t="s">
        <v>12</v>
      </c>
      <c r="E913" s="1">
        <v>20</v>
      </c>
      <c r="F913" s="1">
        <v>80</v>
      </c>
      <c r="G913" s="1">
        <v>1600</v>
      </c>
      <c r="H913" s="1">
        <v>0.01</v>
      </c>
      <c r="I913" s="1">
        <v>16</v>
      </c>
      <c r="J913" t="s">
        <v>22</v>
      </c>
    </row>
    <row r="914" spans="1:10" x14ac:dyDescent="0.35">
      <c r="A914" t="s">
        <v>944</v>
      </c>
      <c r="B914" s="2">
        <v>43309</v>
      </c>
      <c r="C914" t="s">
        <v>19</v>
      </c>
      <c r="D914" t="s">
        <v>16</v>
      </c>
      <c r="E914" s="1">
        <v>12</v>
      </c>
      <c r="F914" s="1">
        <v>230</v>
      </c>
      <c r="G914" s="1">
        <v>2760</v>
      </c>
      <c r="H914" s="1">
        <v>0.03</v>
      </c>
      <c r="I914" s="1">
        <v>83</v>
      </c>
      <c r="J914" t="s">
        <v>25</v>
      </c>
    </row>
    <row r="915" spans="1:10" x14ac:dyDescent="0.35">
      <c r="A915" t="s">
        <v>945</v>
      </c>
      <c r="B915" s="2">
        <v>43309</v>
      </c>
      <c r="C915" t="s">
        <v>15</v>
      </c>
      <c r="D915" t="s">
        <v>31</v>
      </c>
      <c r="E915" s="1">
        <v>20</v>
      </c>
      <c r="F915" s="1">
        <v>40</v>
      </c>
      <c r="G915" s="1">
        <v>800</v>
      </c>
      <c r="H915" s="1">
        <v>0.05</v>
      </c>
      <c r="I915" s="1">
        <v>40</v>
      </c>
      <c r="J915" t="s">
        <v>28</v>
      </c>
    </row>
    <row r="916" spans="1:10" x14ac:dyDescent="0.35">
      <c r="A916" t="s">
        <v>946</v>
      </c>
      <c r="B916" s="2">
        <v>43309</v>
      </c>
      <c r="C916" t="s">
        <v>15</v>
      </c>
      <c r="D916" t="s">
        <v>31</v>
      </c>
      <c r="E916" s="1">
        <v>4</v>
      </c>
      <c r="F916" s="1">
        <v>40</v>
      </c>
      <c r="G916" s="1">
        <v>160</v>
      </c>
      <c r="H916" s="1">
        <v>0.09</v>
      </c>
      <c r="I916" s="1">
        <v>14</v>
      </c>
      <c r="J916" t="s">
        <v>17</v>
      </c>
    </row>
    <row r="917" spans="1:10" x14ac:dyDescent="0.35">
      <c r="A917" t="s">
        <v>947</v>
      </c>
      <c r="B917" s="2">
        <v>43309</v>
      </c>
      <c r="C917" t="s">
        <v>30</v>
      </c>
      <c r="D917" t="s">
        <v>24</v>
      </c>
      <c r="E917" s="1">
        <v>6</v>
      </c>
      <c r="F917" s="1">
        <v>16</v>
      </c>
      <c r="G917" s="1">
        <v>96</v>
      </c>
      <c r="H917" s="1">
        <v>7.0000000000000007E-2</v>
      </c>
      <c r="I917" s="1">
        <v>7</v>
      </c>
      <c r="J917" t="s">
        <v>20</v>
      </c>
    </row>
    <row r="918" spans="1:10" x14ac:dyDescent="0.35">
      <c r="A918" t="s">
        <v>948</v>
      </c>
      <c r="B918" s="2">
        <v>43309</v>
      </c>
      <c r="C918" t="s">
        <v>11</v>
      </c>
      <c r="D918" t="s">
        <v>16</v>
      </c>
      <c r="E918" s="1">
        <v>13</v>
      </c>
      <c r="F918" s="1">
        <v>80</v>
      </c>
      <c r="G918" s="1">
        <v>1040</v>
      </c>
      <c r="H918" s="1">
        <v>0.06</v>
      </c>
      <c r="I918" s="1">
        <v>62</v>
      </c>
      <c r="J918" t="s">
        <v>22</v>
      </c>
    </row>
    <row r="919" spans="1:10" x14ac:dyDescent="0.35">
      <c r="A919" t="s">
        <v>949</v>
      </c>
      <c r="B919" s="2">
        <v>43309</v>
      </c>
      <c r="C919" t="s">
        <v>34</v>
      </c>
      <c r="D919" t="s">
        <v>12</v>
      </c>
      <c r="E919" s="1">
        <v>4</v>
      </c>
      <c r="F919" s="1">
        <v>150</v>
      </c>
      <c r="G919" s="1">
        <v>600</v>
      </c>
      <c r="H919" s="1">
        <v>0.1</v>
      </c>
      <c r="I919" s="1">
        <v>60</v>
      </c>
      <c r="J919" t="s">
        <v>25</v>
      </c>
    </row>
    <row r="920" spans="1:10" x14ac:dyDescent="0.35">
      <c r="A920" t="s">
        <v>950</v>
      </c>
      <c r="B920" s="2">
        <v>43309</v>
      </c>
      <c r="C920" t="s">
        <v>34</v>
      </c>
      <c r="D920" t="s">
        <v>27</v>
      </c>
      <c r="E920" s="1">
        <v>9</v>
      </c>
      <c r="F920" s="1">
        <v>150</v>
      </c>
      <c r="G920" s="1">
        <v>1350</v>
      </c>
      <c r="H920" s="1">
        <v>0.02</v>
      </c>
      <c r="I920" s="1">
        <v>27</v>
      </c>
      <c r="J920" t="s">
        <v>28</v>
      </c>
    </row>
    <row r="921" spans="1:10" x14ac:dyDescent="0.35">
      <c r="A921" t="s">
        <v>951</v>
      </c>
      <c r="B921" s="2">
        <v>43309</v>
      </c>
      <c r="C921" t="s">
        <v>34</v>
      </c>
      <c r="D921" t="s">
        <v>12</v>
      </c>
      <c r="E921" s="1">
        <v>11</v>
      </c>
      <c r="F921" s="1">
        <v>150</v>
      </c>
      <c r="G921" s="1">
        <v>1650</v>
      </c>
      <c r="H921" s="1">
        <v>0.05</v>
      </c>
      <c r="I921" s="1">
        <v>82</v>
      </c>
      <c r="J921" t="s">
        <v>32</v>
      </c>
    </row>
    <row r="922" spans="1:10" x14ac:dyDescent="0.35">
      <c r="A922" t="s">
        <v>952</v>
      </c>
      <c r="B922" s="2">
        <v>43309</v>
      </c>
      <c r="C922" t="s">
        <v>30</v>
      </c>
      <c r="D922" t="s">
        <v>24</v>
      </c>
      <c r="E922" s="1">
        <v>6</v>
      </c>
      <c r="F922" s="1">
        <v>16</v>
      </c>
      <c r="G922" s="1">
        <v>96</v>
      </c>
      <c r="H922" s="1">
        <v>0.06</v>
      </c>
      <c r="I922" s="1">
        <v>6</v>
      </c>
      <c r="J922" t="s">
        <v>35</v>
      </c>
    </row>
    <row r="923" spans="1:10" x14ac:dyDescent="0.35">
      <c r="A923" t="s">
        <v>953</v>
      </c>
      <c r="B923" s="2">
        <v>43310</v>
      </c>
      <c r="C923" t="s">
        <v>19</v>
      </c>
      <c r="D923" t="s">
        <v>24</v>
      </c>
      <c r="E923" s="1">
        <v>14</v>
      </c>
      <c r="F923" s="1">
        <v>230</v>
      </c>
      <c r="G923" s="1">
        <v>3220</v>
      </c>
      <c r="H923" s="1">
        <v>0.12</v>
      </c>
      <c r="I923" s="1">
        <v>386</v>
      </c>
      <c r="J923" t="s">
        <v>37</v>
      </c>
    </row>
    <row r="924" spans="1:10" x14ac:dyDescent="0.35">
      <c r="A924" t="s">
        <v>954</v>
      </c>
      <c r="B924" s="2">
        <v>43310</v>
      </c>
      <c r="C924" t="s">
        <v>11</v>
      </c>
      <c r="D924" t="s">
        <v>16</v>
      </c>
      <c r="E924" s="1">
        <v>15</v>
      </c>
      <c r="F924" s="1">
        <v>80</v>
      </c>
      <c r="G924" s="1">
        <v>1200</v>
      </c>
      <c r="H924" s="1">
        <v>0.12</v>
      </c>
      <c r="I924" s="1">
        <v>144</v>
      </c>
      <c r="J924" t="s">
        <v>39</v>
      </c>
    </row>
    <row r="925" spans="1:10" x14ac:dyDescent="0.35">
      <c r="A925" t="s">
        <v>955</v>
      </c>
      <c r="B925" s="2">
        <v>43310</v>
      </c>
      <c r="C925" t="s">
        <v>19</v>
      </c>
      <c r="D925" t="s">
        <v>27</v>
      </c>
      <c r="E925" s="1">
        <v>17</v>
      </c>
      <c r="F925" s="1">
        <v>230</v>
      </c>
      <c r="G925" s="1">
        <v>3910</v>
      </c>
      <c r="H925" s="1">
        <v>0.12</v>
      </c>
      <c r="I925" s="1">
        <v>469</v>
      </c>
      <c r="J925" t="s">
        <v>41</v>
      </c>
    </row>
    <row r="926" spans="1:10" x14ac:dyDescent="0.35">
      <c r="A926" t="s">
        <v>956</v>
      </c>
      <c r="B926" s="2">
        <v>43310</v>
      </c>
      <c r="C926" t="s">
        <v>34</v>
      </c>
      <c r="D926" t="s">
        <v>12</v>
      </c>
      <c r="E926" s="1">
        <v>5</v>
      </c>
      <c r="F926" s="1">
        <v>150</v>
      </c>
      <c r="G926" s="1">
        <v>750</v>
      </c>
      <c r="H926" s="1">
        <v>0.11</v>
      </c>
      <c r="I926" s="1">
        <v>82</v>
      </c>
      <c r="J926" t="s">
        <v>43</v>
      </c>
    </row>
    <row r="927" spans="1:10" x14ac:dyDescent="0.35">
      <c r="A927" t="s">
        <v>957</v>
      </c>
      <c r="B927" s="2">
        <v>43310</v>
      </c>
      <c r="C927" t="s">
        <v>11</v>
      </c>
      <c r="D927" t="s">
        <v>31</v>
      </c>
      <c r="E927" s="1">
        <v>10</v>
      </c>
      <c r="F927" s="1">
        <v>80</v>
      </c>
      <c r="G927" s="1">
        <v>800</v>
      </c>
      <c r="H927" s="1">
        <v>0.06</v>
      </c>
      <c r="I927" s="1">
        <v>48</v>
      </c>
      <c r="J927" t="s">
        <v>13</v>
      </c>
    </row>
    <row r="928" spans="1:10" x14ac:dyDescent="0.35">
      <c r="A928" t="s">
        <v>958</v>
      </c>
      <c r="B928" s="2">
        <v>43310</v>
      </c>
      <c r="C928" t="s">
        <v>11</v>
      </c>
      <c r="D928" t="s">
        <v>12</v>
      </c>
      <c r="E928" s="1">
        <v>9</v>
      </c>
      <c r="F928" s="1">
        <v>80</v>
      </c>
      <c r="G928" s="1">
        <v>720</v>
      </c>
      <c r="H928" s="1">
        <v>0.04</v>
      </c>
      <c r="I928" s="1">
        <v>29</v>
      </c>
      <c r="J928" t="s">
        <v>17</v>
      </c>
    </row>
    <row r="929" spans="1:10" x14ac:dyDescent="0.35">
      <c r="A929" t="s">
        <v>959</v>
      </c>
      <c r="B929" s="2">
        <v>43310</v>
      </c>
      <c r="C929" t="s">
        <v>15</v>
      </c>
      <c r="D929" t="s">
        <v>31</v>
      </c>
      <c r="E929" s="1">
        <v>16</v>
      </c>
      <c r="F929" s="1">
        <v>40</v>
      </c>
      <c r="G929" s="1">
        <v>640</v>
      </c>
      <c r="H929" s="1">
        <v>0.09</v>
      </c>
      <c r="I929" s="1">
        <v>58</v>
      </c>
      <c r="J929" t="s">
        <v>20</v>
      </c>
    </row>
    <row r="930" spans="1:10" x14ac:dyDescent="0.35">
      <c r="A930" t="s">
        <v>960</v>
      </c>
      <c r="B930" s="2">
        <v>43310</v>
      </c>
      <c r="C930" t="s">
        <v>19</v>
      </c>
      <c r="D930" t="s">
        <v>12</v>
      </c>
      <c r="E930" s="1">
        <v>7</v>
      </c>
      <c r="F930" s="1">
        <v>230</v>
      </c>
      <c r="G930" s="1">
        <v>1610</v>
      </c>
      <c r="H930" s="1">
        <v>0.08</v>
      </c>
      <c r="I930" s="1">
        <v>129</v>
      </c>
      <c r="J930" t="s">
        <v>22</v>
      </c>
    </row>
    <row r="931" spans="1:10" x14ac:dyDescent="0.35">
      <c r="A931" t="s">
        <v>961</v>
      </c>
      <c r="B931" s="2">
        <v>43310</v>
      </c>
      <c r="C931" t="s">
        <v>11</v>
      </c>
      <c r="D931" t="s">
        <v>27</v>
      </c>
      <c r="E931" s="1">
        <v>17</v>
      </c>
      <c r="F931" s="1">
        <v>80</v>
      </c>
      <c r="G931" s="1">
        <v>1360</v>
      </c>
      <c r="H931" s="1">
        <v>0.05</v>
      </c>
      <c r="I931" s="1">
        <v>68</v>
      </c>
      <c r="J931" t="s">
        <v>25</v>
      </c>
    </row>
    <row r="932" spans="1:10" x14ac:dyDescent="0.35">
      <c r="A932" t="s">
        <v>962</v>
      </c>
      <c r="B932" s="2">
        <v>43310</v>
      </c>
      <c r="C932" t="s">
        <v>19</v>
      </c>
      <c r="D932" t="s">
        <v>12</v>
      </c>
      <c r="E932" s="1">
        <v>11</v>
      </c>
      <c r="F932" s="1">
        <v>230</v>
      </c>
      <c r="G932" s="1">
        <v>2530</v>
      </c>
      <c r="H932" s="1">
        <v>0.02</v>
      </c>
      <c r="I932" s="1">
        <v>51</v>
      </c>
      <c r="J932" t="s">
        <v>28</v>
      </c>
    </row>
    <row r="933" spans="1:10" x14ac:dyDescent="0.35">
      <c r="A933" t="s">
        <v>963</v>
      </c>
      <c r="B933" s="2">
        <v>43311</v>
      </c>
      <c r="C933" t="s">
        <v>15</v>
      </c>
      <c r="D933" t="s">
        <v>12</v>
      </c>
      <c r="E933" s="1">
        <v>15</v>
      </c>
      <c r="F933" s="1">
        <v>40</v>
      </c>
      <c r="G933" s="1">
        <v>600</v>
      </c>
      <c r="H933" s="1">
        <v>0.06</v>
      </c>
      <c r="I933" s="1">
        <v>36</v>
      </c>
      <c r="J933" t="s">
        <v>17</v>
      </c>
    </row>
    <row r="934" spans="1:10" x14ac:dyDescent="0.35">
      <c r="A934" t="s">
        <v>964</v>
      </c>
      <c r="B934" s="2">
        <v>43312</v>
      </c>
      <c r="C934" t="s">
        <v>19</v>
      </c>
      <c r="D934" t="s">
        <v>12</v>
      </c>
      <c r="E934" s="1">
        <v>7</v>
      </c>
      <c r="F934" s="1">
        <v>230</v>
      </c>
      <c r="G934" s="1">
        <v>1610</v>
      </c>
      <c r="H934" s="1">
        <v>0.02</v>
      </c>
      <c r="I934" s="1">
        <v>32</v>
      </c>
      <c r="J934" t="s">
        <v>20</v>
      </c>
    </row>
    <row r="935" spans="1:10" x14ac:dyDescent="0.35">
      <c r="A935" t="s">
        <v>965</v>
      </c>
      <c r="B935" s="2">
        <v>43312</v>
      </c>
      <c r="C935" t="s">
        <v>11</v>
      </c>
      <c r="D935" t="s">
        <v>24</v>
      </c>
      <c r="E935" s="1">
        <v>20</v>
      </c>
      <c r="F935" s="1">
        <v>80</v>
      </c>
      <c r="G935" s="1">
        <v>1600</v>
      </c>
      <c r="H935" s="1">
        <v>7.0000000000000007E-2</v>
      </c>
      <c r="I935" s="1">
        <v>112</v>
      </c>
      <c r="J935" t="s">
        <v>22</v>
      </c>
    </row>
    <row r="936" spans="1:10" x14ac:dyDescent="0.35">
      <c r="A936" t="s">
        <v>966</v>
      </c>
      <c r="B936" s="2">
        <v>43312</v>
      </c>
      <c r="C936" t="s">
        <v>11</v>
      </c>
      <c r="D936" t="s">
        <v>16</v>
      </c>
      <c r="E936" s="1">
        <v>3</v>
      </c>
      <c r="F936" s="1">
        <v>80</v>
      </c>
      <c r="G936" s="1">
        <v>240</v>
      </c>
      <c r="H936" s="1">
        <v>0.02</v>
      </c>
      <c r="I936" s="1">
        <v>5</v>
      </c>
      <c r="J936" t="s">
        <v>25</v>
      </c>
    </row>
    <row r="937" spans="1:10" x14ac:dyDescent="0.35">
      <c r="A937" t="s">
        <v>967</v>
      </c>
      <c r="B937" s="2">
        <v>43312</v>
      </c>
      <c r="C937" t="s">
        <v>34</v>
      </c>
      <c r="D937" t="s">
        <v>24</v>
      </c>
      <c r="E937" s="1">
        <v>2</v>
      </c>
      <c r="F937" s="1">
        <v>150</v>
      </c>
      <c r="G937" s="1">
        <v>300</v>
      </c>
      <c r="H937" s="1">
        <v>0.02</v>
      </c>
      <c r="I937" s="1">
        <v>6</v>
      </c>
      <c r="J937" t="s">
        <v>28</v>
      </c>
    </row>
    <row r="938" spans="1:10" x14ac:dyDescent="0.35">
      <c r="A938" t="s">
        <v>968</v>
      </c>
      <c r="B938" s="2">
        <v>43312</v>
      </c>
      <c r="C938" t="s">
        <v>34</v>
      </c>
      <c r="D938" t="s">
        <v>24</v>
      </c>
      <c r="E938" s="1">
        <v>22</v>
      </c>
      <c r="F938" s="1">
        <v>150</v>
      </c>
      <c r="G938" s="1">
        <v>3300</v>
      </c>
      <c r="H938" s="1">
        <v>0.09</v>
      </c>
      <c r="I938" s="1">
        <v>297</v>
      </c>
      <c r="J938" t="s">
        <v>32</v>
      </c>
    </row>
    <row r="939" spans="1:10" x14ac:dyDescent="0.35">
      <c r="A939" t="s">
        <v>969</v>
      </c>
      <c r="B939" s="2">
        <v>43312</v>
      </c>
      <c r="C939" t="s">
        <v>19</v>
      </c>
      <c r="D939" t="s">
        <v>12</v>
      </c>
      <c r="E939" s="1">
        <v>5</v>
      </c>
      <c r="F939" s="1">
        <v>230</v>
      </c>
      <c r="G939" s="1">
        <v>1150</v>
      </c>
      <c r="H939" s="1">
        <v>0.1</v>
      </c>
      <c r="I939" s="1">
        <v>115</v>
      </c>
      <c r="J939" t="s">
        <v>35</v>
      </c>
    </row>
    <row r="940" spans="1:10" x14ac:dyDescent="0.35">
      <c r="A940" t="s">
        <v>970</v>
      </c>
      <c r="B940" s="2">
        <v>43312</v>
      </c>
      <c r="C940" t="s">
        <v>30</v>
      </c>
      <c r="D940" t="s">
        <v>31</v>
      </c>
      <c r="E940" s="1">
        <v>12</v>
      </c>
      <c r="F940" s="1">
        <v>16</v>
      </c>
      <c r="G940" s="1">
        <v>192</v>
      </c>
      <c r="H940" s="1">
        <v>0.04</v>
      </c>
      <c r="I940" s="1">
        <v>8</v>
      </c>
      <c r="J940" t="s">
        <v>37</v>
      </c>
    </row>
    <row r="941" spans="1:10" x14ac:dyDescent="0.35">
      <c r="A941" t="s">
        <v>971</v>
      </c>
      <c r="B941" s="2">
        <v>43312</v>
      </c>
      <c r="C941" t="s">
        <v>15</v>
      </c>
      <c r="D941" t="s">
        <v>27</v>
      </c>
      <c r="E941" s="1">
        <v>6</v>
      </c>
      <c r="F941" s="1">
        <v>40</v>
      </c>
      <c r="G941" s="1">
        <v>240</v>
      </c>
      <c r="H941" s="1">
        <v>7.0000000000000007E-2</v>
      </c>
      <c r="I941" s="1">
        <v>17</v>
      </c>
      <c r="J941" t="s">
        <v>39</v>
      </c>
    </row>
    <row r="942" spans="1:10" x14ac:dyDescent="0.35">
      <c r="A942" t="s">
        <v>972</v>
      </c>
      <c r="B942" s="2">
        <v>43312</v>
      </c>
      <c r="C942" t="s">
        <v>30</v>
      </c>
      <c r="D942" t="s">
        <v>31</v>
      </c>
      <c r="E942" s="1">
        <v>15</v>
      </c>
      <c r="F942" s="1">
        <v>16</v>
      </c>
      <c r="G942" s="1">
        <v>240</v>
      </c>
      <c r="H942" s="1">
        <v>0.01</v>
      </c>
      <c r="I942" s="1">
        <v>2</v>
      </c>
      <c r="J942" t="s">
        <v>41</v>
      </c>
    </row>
    <row r="943" spans="1:10" x14ac:dyDescent="0.35">
      <c r="A943" t="s">
        <v>973</v>
      </c>
      <c r="B943" s="2">
        <v>43282</v>
      </c>
      <c r="C943" t="s">
        <v>34</v>
      </c>
      <c r="D943" t="s">
        <v>31</v>
      </c>
      <c r="E943" s="1">
        <v>13</v>
      </c>
      <c r="F943" s="1">
        <v>150</v>
      </c>
      <c r="G943" s="1">
        <v>1950</v>
      </c>
      <c r="H943" s="1">
        <v>0.11</v>
      </c>
      <c r="I943" s="1">
        <v>214</v>
      </c>
      <c r="J943" t="s">
        <v>43</v>
      </c>
    </row>
    <row r="944" spans="1:10" x14ac:dyDescent="0.35">
      <c r="A944" t="s">
        <v>974</v>
      </c>
      <c r="B944" s="2">
        <v>43282</v>
      </c>
      <c r="C944" t="s">
        <v>15</v>
      </c>
      <c r="D944" t="s">
        <v>16</v>
      </c>
      <c r="E944" s="1">
        <v>8</v>
      </c>
      <c r="F944" s="1">
        <v>40</v>
      </c>
      <c r="G944" s="1">
        <v>320</v>
      </c>
      <c r="H944" s="1">
        <v>0.09</v>
      </c>
      <c r="I944" s="1">
        <v>29</v>
      </c>
      <c r="J944" t="s">
        <v>13</v>
      </c>
    </row>
    <row r="945" spans="1:10" x14ac:dyDescent="0.35">
      <c r="A945" t="s">
        <v>975</v>
      </c>
      <c r="B945" s="2">
        <v>43282</v>
      </c>
      <c r="C945" t="s">
        <v>15</v>
      </c>
      <c r="D945" t="s">
        <v>27</v>
      </c>
      <c r="E945" s="1">
        <v>7</v>
      </c>
      <c r="F945" s="1">
        <v>40</v>
      </c>
      <c r="G945" s="1">
        <v>280</v>
      </c>
      <c r="H945" s="1">
        <v>7.0000000000000007E-2</v>
      </c>
      <c r="I945" s="1">
        <v>20</v>
      </c>
      <c r="J945" t="s">
        <v>17</v>
      </c>
    </row>
    <row r="946" spans="1:10" x14ac:dyDescent="0.35">
      <c r="A946" t="s">
        <v>976</v>
      </c>
      <c r="B946" s="2">
        <v>43282</v>
      </c>
      <c r="C946" t="s">
        <v>15</v>
      </c>
      <c r="D946" t="s">
        <v>16</v>
      </c>
      <c r="E946" s="1">
        <v>18</v>
      </c>
      <c r="F946" s="1">
        <v>40</v>
      </c>
      <c r="G946" s="1">
        <v>720</v>
      </c>
      <c r="H946" s="1">
        <v>0.08</v>
      </c>
      <c r="I946" s="1">
        <v>58</v>
      </c>
      <c r="J946" t="s">
        <v>20</v>
      </c>
    </row>
    <row r="947" spans="1:10" x14ac:dyDescent="0.35">
      <c r="A947" t="s">
        <v>977</v>
      </c>
      <c r="B947" s="2">
        <v>43282</v>
      </c>
      <c r="C947" t="s">
        <v>19</v>
      </c>
      <c r="D947" t="s">
        <v>27</v>
      </c>
      <c r="E947" s="1">
        <v>19</v>
      </c>
      <c r="F947" s="1">
        <v>230</v>
      </c>
      <c r="G947" s="1">
        <v>4370</v>
      </c>
      <c r="H947" s="1">
        <v>0.06</v>
      </c>
      <c r="I947" s="1">
        <v>262</v>
      </c>
      <c r="J947" t="s">
        <v>22</v>
      </c>
    </row>
    <row r="948" spans="1:10" x14ac:dyDescent="0.35">
      <c r="A948" t="s">
        <v>978</v>
      </c>
      <c r="B948" s="2">
        <v>43282</v>
      </c>
      <c r="C948" t="s">
        <v>34</v>
      </c>
      <c r="D948" t="s">
        <v>12</v>
      </c>
      <c r="E948" s="1">
        <v>4</v>
      </c>
      <c r="F948" s="1">
        <v>150</v>
      </c>
      <c r="G948" s="1">
        <v>600</v>
      </c>
      <c r="H948" s="1">
        <v>0.1</v>
      </c>
      <c r="I948" s="1">
        <v>60</v>
      </c>
      <c r="J948" t="s">
        <v>25</v>
      </c>
    </row>
    <row r="949" spans="1:10" x14ac:dyDescent="0.35">
      <c r="A949" t="s">
        <v>979</v>
      </c>
      <c r="B949" s="2">
        <v>43283</v>
      </c>
      <c r="C949" t="s">
        <v>11</v>
      </c>
      <c r="D949" t="s">
        <v>31</v>
      </c>
      <c r="E949" s="1">
        <v>9</v>
      </c>
      <c r="F949" s="1">
        <v>80</v>
      </c>
      <c r="G949" s="1">
        <v>720</v>
      </c>
      <c r="H949" s="1">
        <v>0.06</v>
      </c>
      <c r="I949" s="1">
        <v>43</v>
      </c>
      <c r="J949" t="s">
        <v>28</v>
      </c>
    </row>
    <row r="950" spans="1:10" x14ac:dyDescent="0.35">
      <c r="A950" t="s">
        <v>980</v>
      </c>
      <c r="B950" s="2">
        <v>43283</v>
      </c>
      <c r="C950" t="s">
        <v>11</v>
      </c>
      <c r="D950" t="s">
        <v>24</v>
      </c>
      <c r="E950" s="1">
        <v>16</v>
      </c>
      <c r="F950" s="1">
        <v>80</v>
      </c>
      <c r="G950" s="1">
        <v>1280</v>
      </c>
      <c r="H950" s="1">
        <v>0.02</v>
      </c>
      <c r="I950" s="1">
        <v>26</v>
      </c>
      <c r="J950" t="s">
        <v>17</v>
      </c>
    </row>
    <row r="951" spans="1:10" x14ac:dyDescent="0.35">
      <c r="A951" t="s">
        <v>981</v>
      </c>
      <c r="B951" s="2">
        <v>43283</v>
      </c>
      <c r="C951" t="s">
        <v>19</v>
      </c>
      <c r="D951" t="s">
        <v>16</v>
      </c>
      <c r="E951" s="1">
        <v>15</v>
      </c>
      <c r="F951" s="1">
        <v>230</v>
      </c>
      <c r="G951" s="1">
        <v>3450</v>
      </c>
      <c r="H951" s="1">
        <v>0.09</v>
      </c>
      <c r="I951" s="1">
        <v>310</v>
      </c>
      <c r="J951" t="s">
        <v>20</v>
      </c>
    </row>
    <row r="952" spans="1:10" x14ac:dyDescent="0.35">
      <c r="A952" t="s">
        <v>982</v>
      </c>
      <c r="B952" s="2">
        <v>43283</v>
      </c>
      <c r="C952" t="s">
        <v>30</v>
      </c>
      <c r="D952" t="s">
        <v>31</v>
      </c>
      <c r="E952" s="1">
        <v>15</v>
      </c>
      <c r="F952" s="1">
        <v>16</v>
      </c>
      <c r="G952" s="1">
        <v>240</v>
      </c>
      <c r="H952" s="1">
        <v>0.01</v>
      </c>
      <c r="I952" s="1">
        <v>2</v>
      </c>
      <c r="J952" t="s">
        <v>22</v>
      </c>
    </row>
    <row r="953" spans="1:10" x14ac:dyDescent="0.35">
      <c r="A953" t="s">
        <v>983</v>
      </c>
      <c r="B953" s="2">
        <v>43283</v>
      </c>
      <c r="C953" t="s">
        <v>19</v>
      </c>
      <c r="D953" t="s">
        <v>12</v>
      </c>
      <c r="E953" s="1">
        <v>7</v>
      </c>
      <c r="F953" s="1">
        <v>230</v>
      </c>
      <c r="G953" s="1">
        <v>1610</v>
      </c>
      <c r="H953" s="1">
        <v>0.02</v>
      </c>
      <c r="I953" s="1">
        <v>32</v>
      </c>
      <c r="J953" t="s">
        <v>25</v>
      </c>
    </row>
    <row r="954" spans="1:10" x14ac:dyDescent="0.35">
      <c r="A954" t="s">
        <v>984</v>
      </c>
      <c r="B954" s="2">
        <v>43283</v>
      </c>
      <c r="C954" t="s">
        <v>30</v>
      </c>
      <c r="D954" t="s">
        <v>24</v>
      </c>
      <c r="E954" s="1">
        <v>23</v>
      </c>
      <c r="F954" s="1">
        <v>16</v>
      </c>
      <c r="G954" s="1">
        <v>368</v>
      </c>
      <c r="H954" s="1">
        <v>0.11</v>
      </c>
      <c r="I954" s="1">
        <v>40</v>
      </c>
      <c r="J954" t="s">
        <v>28</v>
      </c>
    </row>
    <row r="955" spans="1:10" x14ac:dyDescent="0.35">
      <c r="A955" t="s">
        <v>985</v>
      </c>
      <c r="B955" s="2">
        <v>43283</v>
      </c>
      <c r="C955" t="s">
        <v>15</v>
      </c>
      <c r="D955" t="s">
        <v>31</v>
      </c>
      <c r="E955" s="1">
        <v>20</v>
      </c>
      <c r="F955" s="1">
        <v>40</v>
      </c>
      <c r="G955" s="1">
        <v>800</v>
      </c>
      <c r="H955" s="1">
        <v>0.05</v>
      </c>
      <c r="I955" s="1">
        <v>40</v>
      </c>
      <c r="J955" t="s">
        <v>32</v>
      </c>
    </row>
    <row r="956" spans="1:10" x14ac:dyDescent="0.35">
      <c r="A956" t="s">
        <v>986</v>
      </c>
      <c r="B956" s="2">
        <v>43284</v>
      </c>
      <c r="C956" t="s">
        <v>19</v>
      </c>
      <c r="D956" t="s">
        <v>16</v>
      </c>
      <c r="E956" s="1">
        <v>9</v>
      </c>
      <c r="F956" s="1">
        <v>230</v>
      </c>
      <c r="G956" s="1">
        <v>2070</v>
      </c>
      <c r="H956" s="1">
        <v>0.03</v>
      </c>
      <c r="I956" s="1">
        <v>62</v>
      </c>
      <c r="J956" t="s">
        <v>35</v>
      </c>
    </row>
    <row r="957" spans="1:10" x14ac:dyDescent="0.35">
      <c r="A957" t="s">
        <v>987</v>
      </c>
      <c r="B957" s="2">
        <v>43284</v>
      </c>
      <c r="C957" t="s">
        <v>15</v>
      </c>
      <c r="D957" t="s">
        <v>27</v>
      </c>
      <c r="E957" s="1">
        <v>23</v>
      </c>
      <c r="F957" s="1">
        <v>40</v>
      </c>
      <c r="G957" s="1">
        <v>920</v>
      </c>
      <c r="H957" s="1">
        <v>0.06</v>
      </c>
      <c r="I957" s="1">
        <v>55</v>
      </c>
      <c r="J957" t="s">
        <v>37</v>
      </c>
    </row>
    <row r="958" spans="1:10" x14ac:dyDescent="0.35">
      <c r="A958" t="s">
        <v>988</v>
      </c>
      <c r="B958" s="2">
        <v>43284</v>
      </c>
      <c r="C958" t="s">
        <v>15</v>
      </c>
      <c r="D958" t="s">
        <v>27</v>
      </c>
      <c r="E958" s="1">
        <v>4</v>
      </c>
      <c r="F958" s="1">
        <v>40</v>
      </c>
      <c r="G958" s="1">
        <v>160</v>
      </c>
      <c r="H958" s="1">
        <v>0.05</v>
      </c>
      <c r="I958" s="1">
        <v>8</v>
      </c>
      <c r="J958" t="s">
        <v>39</v>
      </c>
    </row>
    <row r="959" spans="1:10" x14ac:dyDescent="0.35">
      <c r="A959" t="s">
        <v>989</v>
      </c>
      <c r="B959" s="2">
        <v>43284</v>
      </c>
      <c r="C959" t="s">
        <v>34</v>
      </c>
      <c r="D959" t="s">
        <v>12</v>
      </c>
      <c r="E959" s="1">
        <v>13</v>
      </c>
      <c r="F959" s="1">
        <v>150</v>
      </c>
      <c r="G959" s="1">
        <v>1950</v>
      </c>
      <c r="H959" s="1">
        <v>0.05</v>
      </c>
      <c r="I959" s="1">
        <v>98</v>
      </c>
      <c r="J959" t="s">
        <v>41</v>
      </c>
    </row>
    <row r="960" spans="1:10" x14ac:dyDescent="0.35">
      <c r="A960" t="s">
        <v>990</v>
      </c>
      <c r="B960" s="2">
        <v>43284</v>
      </c>
      <c r="C960" t="s">
        <v>19</v>
      </c>
      <c r="D960" t="s">
        <v>16</v>
      </c>
      <c r="E960" s="1">
        <v>7</v>
      </c>
      <c r="F960" s="1">
        <v>230</v>
      </c>
      <c r="G960" s="1">
        <v>1610</v>
      </c>
      <c r="H960" s="1">
        <v>0.01</v>
      </c>
      <c r="I960" s="1">
        <v>16</v>
      </c>
      <c r="J960" t="s">
        <v>43</v>
      </c>
    </row>
    <row r="961" spans="1:10" x14ac:dyDescent="0.35">
      <c r="A961" t="s">
        <v>991</v>
      </c>
      <c r="B961" s="2">
        <v>43284</v>
      </c>
      <c r="C961" t="s">
        <v>19</v>
      </c>
      <c r="D961" t="s">
        <v>16</v>
      </c>
      <c r="E961" s="1">
        <v>7</v>
      </c>
      <c r="F961" s="1">
        <v>230</v>
      </c>
      <c r="G961" s="1">
        <v>1610</v>
      </c>
      <c r="H961" s="1">
        <v>0.08</v>
      </c>
      <c r="I961" s="1">
        <v>129</v>
      </c>
      <c r="J961" t="s">
        <v>13</v>
      </c>
    </row>
    <row r="962" spans="1:10" x14ac:dyDescent="0.35">
      <c r="A962" t="s">
        <v>992</v>
      </c>
      <c r="B962" s="2">
        <v>43284</v>
      </c>
      <c r="C962" t="s">
        <v>19</v>
      </c>
      <c r="D962" t="s">
        <v>24</v>
      </c>
      <c r="E962" s="1">
        <v>15</v>
      </c>
      <c r="F962" s="1">
        <v>230</v>
      </c>
      <c r="G962" s="1">
        <v>3450</v>
      </c>
      <c r="H962" s="1">
        <v>0.04</v>
      </c>
      <c r="I962" s="1">
        <v>138</v>
      </c>
      <c r="J962" t="s">
        <v>17</v>
      </c>
    </row>
    <row r="963" spans="1:10" x14ac:dyDescent="0.35">
      <c r="A963" t="s">
        <v>993</v>
      </c>
      <c r="B963" s="2">
        <v>43284</v>
      </c>
      <c r="C963" t="s">
        <v>15</v>
      </c>
      <c r="D963" t="s">
        <v>27</v>
      </c>
      <c r="E963" s="1">
        <v>15</v>
      </c>
      <c r="F963" s="1">
        <v>40</v>
      </c>
      <c r="G963" s="1">
        <v>600</v>
      </c>
      <c r="H963" s="1">
        <v>0.03</v>
      </c>
      <c r="I963" s="1">
        <v>18</v>
      </c>
      <c r="J963" t="s">
        <v>20</v>
      </c>
    </row>
    <row r="964" spans="1:10" x14ac:dyDescent="0.35">
      <c r="A964" t="s">
        <v>994</v>
      </c>
      <c r="B964" s="2">
        <v>43284</v>
      </c>
      <c r="C964" t="s">
        <v>15</v>
      </c>
      <c r="D964" t="s">
        <v>24</v>
      </c>
      <c r="E964" s="1">
        <v>2</v>
      </c>
      <c r="F964" s="1">
        <v>40</v>
      </c>
      <c r="G964" s="1">
        <v>80</v>
      </c>
      <c r="H964" s="1">
        <v>0.03</v>
      </c>
      <c r="I964" s="1">
        <v>2</v>
      </c>
      <c r="J964" t="s">
        <v>22</v>
      </c>
    </row>
    <row r="965" spans="1:10" x14ac:dyDescent="0.35">
      <c r="A965" t="s">
        <v>995</v>
      </c>
      <c r="B965" s="2">
        <v>43284</v>
      </c>
      <c r="C965" t="s">
        <v>34</v>
      </c>
      <c r="D965" t="s">
        <v>24</v>
      </c>
      <c r="E965" s="1">
        <v>2</v>
      </c>
      <c r="F965" s="1">
        <v>150</v>
      </c>
      <c r="G965" s="1">
        <v>300</v>
      </c>
      <c r="H965" s="1">
        <v>0.02</v>
      </c>
      <c r="I965" s="1">
        <v>6</v>
      </c>
      <c r="J965" t="s">
        <v>25</v>
      </c>
    </row>
    <row r="966" spans="1:10" x14ac:dyDescent="0.35">
      <c r="A966" t="s">
        <v>996</v>
      </c>
      <c r="B966" s="2">
        <v>43285</v>
      </c>
      <c r="C966" t="s">
        <v>19</v>
      </c>
      <c r="D966" t="s">
        <v>12</v>
      </c>
      <c r="E966" s="1">
        <v>3</v>
      </c>
      <c r="F966" s="1">
        <v>230</v>
      </c>
      <c r="G966" s="1">
        <v>690</v>
      </c>
      <c r="H966" s="1">
        <v>0.11</v>
      </c>
      <c r="I966" s="1">
        <v>76</v>
      </c>
      <c r="J966" t="s">
        <v>28</v>
      </c>
    </row>
    <row r="967" spans="1:10" x14ac:dyDescent="0.35">
      <c r="A967" t="s">
        <v>997</v>
      </c>
      <c r="B967" s="2">
        <v>43285</v>
      </c>
      <c r="C967" t="s">
        <v>15</v>
      </c>
      <c r="D967" t="s">
        <v>24</v>
      </c>
      <c r="E967" s="1">
        <v>4</v>
      </c>
      <c r="F967" s="1">
        <v>40</v>
      </c>
      <c r="G967" s="1">
        <v>160</v>
      </c>
      <c r="H967" s="1">
        <v>0.06</v>
      </c>
      <c r="I967" s="1">
        <v>10</v>
      </c>
      <c r="J967" t="s">
        <v>17</v>
      </c>
    </row>
    <row r="968" spans="1:10" x14ac:dyDescent="0.35">
      <c r="A968" t="s">
        <v>998</v>
      </c>
      <c r="B968" s="2">
        <v>43285</v>
      </c>
      <c r="C968" t="s">
        <v>15</v>
      </c>
      <c r="D968" t="s">
        <v>27</v>
      </c>
      <c r="E968" s="1">
        <v>13</v>
      </c>
      <c r="F968" s="1">
        <v>40</v>
      </c>
      <c r="G968" s="1">
        <v>520</v>
      </c>
      <c r="H968" s="1">
        <v>0.06</v>
      </c>
      <c r="I968" s="1">
        <v>31</v>
      </c>
      <c r="J968" t="s">
        <v>20</v>
      </c>
    </row>
    <row r="969" spans="1:10" x14ac:dyDescent="0.35">
      <c r="A969" t="s">
        <v>999</v>
      </c>
      <c r="B969" s="2">
        <v>43285</v>
      </c>
      <c r="C969" t="s">
        <v>30</v>
      </c>
      <c r="D969" t="s">
        <v>27</v>
      </c>
      <c r="E969" s="1">
        <v>15</v>
      </c>
      <c r="F969" s="1">
        <v>16</v>
      </c>
      <c r="G969" s="1">
        <v>240</v>
      </c>
      <c r="H969" s="1">
        <v>0.12</v>
      </c>
      <c r="I969" s="1">
        <v>29</v>
      </c>
      <c r="J969" t="s">
        <v>22</v>
      </c>
    </row>
    <row r="970" spans="1:10" x14ac:dyDescent="0.35">
      <c r="A970" t="s">
        <v>1000</v>
      </c>
      <c r="B970" s="2">
        <v>43285</v>
      </c>
      <c r="C970" t="s">
        <v>11</v>
      </c>
      <c r="D970" t="s">
        <v>12</v>
      </c>
      <c r="E970" s="1">
        <v>14</v>
      </c>
      <c r="F970" s="1">
        <v>80</v>
      </c>
      <c r="G970" s="1">
        <v>1120</v>
      </c>
      <c r="H970" s="1">
        <v>0.08</v>
      </c>
      <c r="I970" s="1">
        <v>90</v>
      </c>
      <c r="J970" t="s">
        <v>25</v>
      </c>
    </row>
    <row r="971" spans="1:10" x14ac:dyDescent="0.35">
      <c r="A971" t="s">
        <v>1001</v>
      </c>
      <c r="B971" s="2">
        <v>43285</v>
      </c>
      <c r="C971" t="s">
        <v>30</v>
      </c>
      <c r="D971" t="s">
        <v>12</v>
      </c>
      <c r="E971" s="1">
        <v>7</v>
      </c>
      <c r="F971" s="1">
        <v>16</v>
      </c>
      <c r="G971" s="1">
        <v>112</v>
      </c>
      <c r="H971" s="1">
        <v>0.08</v>
      </c>
      <c r="I971" s="1">
        <v>9</v>
      </c>
      <c r="J971" t="s">
        <v>28</v>
      </c>
    </row>
    <row r="972" spans="1:10" x14ac:dyDescent="0.35">
      <c r="A972" t="s">
        <v>1002</v>
      </c>
      <c r="B972" s="2">
        <v>43285</v>
      </c>
      <c r="C972" t="s">
        <v>34</v>
      </c>
      <c r="D972" t="s">
        <v>16</v>
      </c>
      <c r="E972" s="1">
        <v>13</v>
      </c>
      <c r="F972" s="1">
        <v>150</v>
      </c>
      <c r="G972" s="1">
        <v>1950</v>
      </c>
      <c r="H972" s="1">
        <v>0.02</v>
      </c>
      <c r="I972" s="1">
        <v>39</v>
      </c>
      <c r="J972" t="s">
        <v>32</v>
      </c>
    </row>
    <row r="973" spans="1:10" x14ac:dyDescent="0.35">
      <c r="A973" t="s">
        <v>1003</v>
      </c>
      <c r="B973" s="2">
        <v>43285</v>
      </c>
      <c r="C973" t="s">
        <v>34</v>
      </c>
      <c r="D973" t="s">
        <v>24</v>
      </c>
      <c r="E973" s="1">
        <v>9</v>
      </c>
      <c r="F973" s="1">
        <v>150</v>
      </c>
      <c r="G973" s="1">
        <v>1350</v>
      </c>
      <c r="H973" s="1">
        <v>0.02</v>
      </c>
      <c r="I973" s="1">
        <v>27</v>
      </c>
      <c r="J973" t="s">
        <v>35</v>
      </c>
    </row>
    <row r="974" spans="1:10" x14ac:dyDescent="0.35">
      <c r="A974" t="s">
        <v>1004</v>
      </c>
      <c r="B974" s="2">
        <v>43285</v>
      </c>
      <c r="C974" t="s">
        <v>15</v>
      </c>
      <c r="D974" t="s">
        <v>12</v>
      </c>
      <c r="E974" s="1">
        <v>9</v>
      </c>
      <c r="F974" s="1">
        <v>40</v>
      </c>
      <c r="G974" s="1">
        <v>360</v>
      </c>
      <c r="H974" s="1">
        <v>0.01</v>
      </c>
      <c r="I974" s="1">
        <v>4</v>
      </c>
      <c r="J974" t="s">
        <v>37</v>
      </c>
    </row>
    <row r="975" spans="1:10" x14ac:dyDescent="0.35">
      <c r="A975" t="s">
        <v>1005</v>
      </c>
      <c r="B975" s="2">
        <v>43286</v>
      </c>
      <c r="C975" t="s">
        <v>11</v>
      </c>
      <c r="D975" t="s">
        <v>31</v>
      </c>
      <c r="E975" s="1">
        <v>9</v>
      </c>
      <c r="F975" s="1">
        <v>80</v>
      </c>
      <c r="G975" s="1">
        <v>720</v>
      </c>
      <c r="H975" s="1">
        <v>7.0000000000000007E-2</v>
      </c>
      <c r="I975" s="1">
        <v>50</v>
      </c>
      <c r="J975" t="s">
        <v>39</v>
      </c>
    </row>
    <row r="976" spans="1:10" x14ac:dyDescent="0.35">
      <c r="A976" t="s">
        <v>1006</v>
      </c>
      <c r="B976" s="2">
        <v>43286</v>
      </c>
      <c r="C976" t="s">
        <v>19</v>
      </c>
      <c r="D976" t="s">
        <v>16</v>
      </c>
      <c r="E976" s="1">
        <v>22</v>
      </c>
      <c r="F976" s="1">
        <v>230</v>
      </c>
      <c r="G976" s="1">
        <v>5060</v>
      </c>
      <c r="H976" s="1">
        <v>0.11</v>
      </c>
      <c r="I976" s="1">
        <v>557</v>
      </c>
      <c r="J976" t="s">
        <v>41</v>
      </c>
    </row>
    <row r="977" spans="1:10" x14ac:dyDescent="0.35">
      <c r="A977" t="s">
        <v>1007</v>
      </c>
      <c r="B977" s="2">
        <v>43286</v>
      </c>
      <c r="C977" t="s">
        <v>34</v>
      </c>
      <c r="D977" t="s">
        <v>16</v>
      </c>
      <c r="E977" s="1">
        <v>15</v>
      </c>
      <c r="F977" s="1">
        <v>150</v>
      </c>
      <c r="G977" s="1">
        <v>2250</v>
      </c>
      <c r="H977" s="1">
        <v>0.02</v>
      </c>
      <c r="I977" s="1">
        <v>45</v>
      </c>
      <c r="J977" t="s">
        <v>43</v>
      </c>
    </row>
    <row r="978" spans="1:10" x14ac:dyDescent="0.35">
      <c r="A978" t="s">
        <v>1008</v>
      </c>
      <c r="B978" s="2">
        <v>43286</v>
      </c>
      <c r="C978" t="s">
        <v>19</v>
      </c>
      <c r="D978" t="s">
        <v>31</v>
      </c>
      <c r="E978" s="1">
        <v>5</v>
      </c>
      <c r="F978" s="1">
        <v>230</v>
      </c>
      <c r="G978" s="1">
        <v>1150</v>
      </c>
      <c r="H978" s="1">
        <v>0.12</v>
      </c>
      <c r="I978" s="1">
        <v>138</v>
      </c>
      <c r="J978" t="s">
        <v>13</v>
      </c>
    </row>
    <row r="979" spans="1:10" x14ac:dyDescent="0.35">
      <c r="A979" t="s">
        <v>1009</v>
      </c>
      <c r="B979" s="2">
        <v>43286</v>
      </c>
      <c r="C979" t="s">
        <v>15</v>
      </c>
      <c r="D979" t="s">
        <v>24</v>
      </c>
      <c r="E979" s="1">
        <v>20</v>
      </c>
      <c r="F979" s="1">
        <v>40</v>
      </c>
      <c r="G979" s="1">
        <v>800</v>
      </c>
      <c r="H979" s="1">
        <v>0.01</v>
      </c>
      <c r="I979" s="1">
        <v>8</v>
      </c>
      <c r="J979" t="s">
        <v>17</v>
      </c>
    </row>
    <row r="980" spans="1:10" x14ac:dyDescent="0.35">
      <c r="A980" t="s">
        <v>1010</v>
      </c>
      <c r="B980" s="2">
        <v>43286</v>
      </c>
      <c r="C980" t="s">
        <v>15</v>
      </c>
      <c r="D980" t="s">
        <v>12</v>
      </c>
      <c r="E980" s="1">
        <v>23</v>
      </c>
      <c r="F980" s="1">
        <v>40</v>
      </c>
      <c r="G980" s="1">
        <v>920</v>
      </c>
      <c r="H980" s="1">
        <v>0.03</v>
      </c>
      <c r="I980" s="1">
        <v>28</v>
      </c>
      <c r="J980" t="s">
        <v>20</v>
      </c>
    </row>
    <row r="981" spans="1:10" x14ac:dyDescent="0.35">
      <c r="A981" t="s">
        <v>1011</v>
      </c>
      <c r="B981" s="2">
        <v>43286</v>
      </c>
      <c r="C981" t="s">
        <v>11</v>
      </c>
      <c r="D981" t="s">
        <v>31</v>
      </c>
      <c r="E981" s="1">
        <v>16</v>
      </c>
      <c r="F981" s="1">
        <v>80</v>
      </c>
      <c r="G981" s="1">
        <v>1280</v>
      </c>
      <c r="H981" s="1">
        <v>0.05</v>
      </c>
      <c r="I981" s="1">
        <v>64</v>
      </c>
      <c r="J981" t="s">
        <v>22</v>
      </c>
    </row>
    <row r="982" spans="1:10" x14ac:dyDescent="0.35">
      <c r="A982" t="s">
        <v>1012</v>
      </c>
      <c r="B982" s="2">
        <v>43286</v>
      </c>
      <c r="C982" t="s">
        <v>19</v>
      </c>
      <c r="D982" t="s">
        <v>24</v>
      </c>
      <c r="E982" s="1">
        <v>18</v>
      </c>
      <c r="F982" s="1">
        <v>230</v>
      </c>
      <c r="G982" s="1">
        <v>4140</v>
      </c>
      <c r="H982" s="1">
        <v>0.01</v>
      </c>
      <c r="I982" s="1">
        <v>41</v>
      </c>
      <c r="J982" t="s">
        <v>25</v>
      </c>
    </row>
    <row r="983" spans="1:10" x14ac:dyDescent="0.35">
      <c r="A983" t="s">
        <v>1013</v>
      </c>
      <c r="B983" s="2">
        <v>43286</v>
      </c>
      <c r="C983" t="s">
        <v>15</v>
      </c>
      <c r="D983" t="s">
        <v>31</v>
      </c>
      <c r="E983" s="1">
        <v>23</v>
      </c>
      <c r="F983" s="1">
        <v>40</v>
      </c>
      <c r="G983" s="1">
        <v>920</v>
      </c>
      <c r="H983" s="1">
        <v>0.05</v>
      </c>
      <c r="I983" s="1">
        <v>46</v>
      </c>
      <c r="J983" t="s">
        <v>28</v>
      </c>
    </row>
    <row r="984" spans="1:10" x14ac:dyDescent="0.35">
      <c r="A984" t="s">
        <v>1014</v>
      </c>
      <c r="B984" s="2">
        <v>43286</v>
      </c>
      <c r="C984" t="s">
        <v>30</v>
      </c>
      <c r="D984" t="s">
        <v>27</v>
      </c>
      <c r="E984" s="1">
        <v>5</v>
      </c>
      <c r="F984" s="1">
        <v>16</v>
      </c>
      <c r="G984" s="1">
        <v>80</v>
      </c>
      <c r="H984" s="1">
        <v>0.09</v>
      </c>
      <c r="I984" s="1">
        <v>7</v>
      </c>
      <c r="J984" t="s">
        <v>17</v>
      </c>
    </row>
    <row r="985" spans="1:10" x14ac:dyDescent="0.35">
      <c r="A985" t="s">
        <v>1015</v>
      </c>
      <c r="B985" s="2">
        <v>43286</v>
      </c>
      <c r="C985" t="s">
        <v>15</v>
      </c>
      <c r="D985" t="s">
        <v>12</v>
      </c>
      <c r="E985" s="1">
        <v>22</v>
      </c>
      <c r="F985" s="1">
        <v>40</v>
      </c>
      <c r="G985" s="1">
        <v>880</v>
      </c>
      <c r="H985" s="1">
        <v>0.02</v>
      </c>
      <c r="I985" s="1">
        <v>18</v>
      </c>
      <c r="J985" t="s">
        <v>20</v>
      </c>
    </row>
    <row r="986" spans="1:10" x14ac:dyDescent="0.35">
      <c r="A986" t="s">
        <v>1016</v>
      </c>
      <c r="B986" s="2">
        <v>43287</v>
      </c>
      <c r="C986" t="s">
        <v>34</v>
      </c>
      <c r="D986" t="s">
        <v>12</v>
      </c>
      <c r="E986" s="1">
        <v>23</v>
      </c>
      <c r="F986" s="1">
        <v>150</v>
      </c>
      <c r="G986" s="1">
        <v>3450</v>
      </c>
      <c r="H986" s="1">
        <v>0.1</v>
      </c>
      <c r="I986" s="1">
        <v>345</v>
      </c>
      <c r="J986" t="s">
        <v>22</v>
      </c>
    </row>
    <row r="987" spans="1:10" x14ac:dyDescent="0.35">
      <c r="A987" t="s">
        <v>1017</v>
      </c>
      <c r="B987" s="2">
        <v>43287</v>
      </c>
      <c r="C987" t="s">
        <v>19</v>
      </c>
      <c r="D987" t="s">
        <v>16</v>
      </c>
      <c r="E987" s="1">
        <v>22</v>
      </c>
      <c r="F987" s="1">
        <v>230</v>
      </c>
      <c r="G987" s="1">
        <v>5060</v>
      </c>
      <c r="H987" s="1">
        <v>0.04</v>
      </c>
      <c r="I987" s="1">
        <v>202</v>
      </c>
      <c r="J987" t="s">
        <v>25</v>
      </c>
    </row>
    <row r="988" spans="1:10" x14ac:dyDescent="0.35">
      <c r="A988" t="s">
        <v>1018</v>
      </c>
      <c r="B988" s="2">
        <v>43287</v>
      </c>
      <c r="C988" t="s">
        <v>11</v>
      </c>
      <c r="D988" t="s">
        <v>27</v>
      </c>
      <c r="E988" s="1">
        <v>16</v>
      </c>
      <c r="F988" s="1">
        <v>80</v>
      </c>
      <c r="G988" s="1">
        <v>1280</v>
      </c>
      <c r="H988" s="1">
        <v>7.0000000000000007E-2</v>
      </c>
      <c r="I988" s="1">
        <v>90</v>
      </c>
      <c r="J988" t="s">
        <v>28</v>
      </c>
    </row>
    <row r="989" spans="1:10" x14ac:dyDescent="0.35">
      <c r="A989" t="s">
        <v>1019</v>
      </c>
      <c r="B989" s="2">
        <v>43287</v>
      </c>
      <c r="C989" t="s">
        <v>34</v>
      </c>
      <c r="D989" t="s">
        <v>24</v>
      </c>
      <c r="E989" s="1">
        <v>22</v>
      </c>
      <c r="F989" s="1">
        <v>150</v>
      </c>
      <c r="G989" s="1">
        <v>3300</v>
      </c>
      <c r="H989" s="1">
        <v>0.09</v>
      </c>
      <c r="I989" s="1">
        <v>297</v>
      </c>
      <c r="J989" t="s">
        <v>32</v>
      </c>
    </row>
    <row r="990" spans="1:10" x14ac:dyDescent="0.35">
      <c r="A990" t="s">
        <v>1020</v>
      </c>
      <c r="B990" s="2">
        <v>43287</v>
      </c>
      <c r="C990" t="s">
        <v>11</v>
      </c>
      <c r="D990" t="s">
        <v>24</v>
      </c>
      <c r="E990" s="1">
        <v>5</v>
      </c>
      <c r="F990" s="1">
        <v>80</v>
      </c>
      <c r="G990" s="1">
        <v>400</v>
      </c>
      <c r="H990" s="1">
        <v>0.09</v>
      </c>
      <c r="I990" s="1">
        <v>36</v>
      </c>
      <c r="J990" t="s">
        <v>35</v>
      </c>
    </row>
    <row r="991" spans="1:10" x14ac:dyDescent="0.35">
      <c r="A991" t="s">
        <v>1021</v>
      </c>
      <c r="B991" s="2">
        <v>43287</v>
      </c>
      <c r="C991" t="s">
        <v>11</v>
      </c>
      <c r="D991" t="s">
        <v>27</v>
      </c>
      <c r="E991" s="1">
        <v>16</v>
      </c>
      <c r="F991" s="1">
        <v>80</v>
      </c>
      <c r="G991" s="1">
        <v>1280</v>
      </c>
      <c r="H991" s="1">
        <v>0.1</v>
      </c>
      <c r="I991" s="1">
        <v>128</v>
      </c>
      <c r="J991" t="s">
        <v>37</v>
      </c>
    </row>
    <row r="992" spans="1:10" x14ac:dyDescent="0.35">
      <c r="A992" t="s">
        <v>1022</v>
      </c>
      <c r="B992" s="2">
        <v>43287</v>
      </c>
      <c r="C992" t="s">
        <v>34</v>
      </c>
      <c r="D992" t="s">
        <v>16</v>
      </c>
      <c r="E992" s="1">
        <v>23</v>
      </c>
      <c r="F992" s="1">
        <v>150</v>
      </c>
      <c r="G992" s="1">
        <v>3450</v>
      </c>
      <c r="H992" s="1">
        <v>0.11</v>
      </c>
      <c r="I992" s="1">
        <v>380</v>
      </c>
      <c r="J992" t="s">
        <v>39</v>
      </c>
    </row>
    <row r="993" spans="1:10" x14ac:dyDescent="0.35">
      <c r="A993" t="s">
        <v>1023</v>
      </c>
      <c r="B993" s="2">
        <v>43287</v>
      </c>
      <c r="C993" t="s">
        <v>30</v>
      </c>
      <c r="D993" t="s">
        <v>16</v>
      </c>
      <c r="E993" s="1">
        <v>4</v>
      </c>
      <c r="F993" s="1">
        <v>16</v>
      </c>
      <c r="G993" s="1">
        <v>64</v>
      </c>
      <c r="H993" s="1">
        <v>0.09</v>
      </c>
      <c r="I993" s="1">
        <v>6</v>
      </c>
      <c r="J993" t="s">
        <v>41</v>
      </c>
    </row>
    <row r="994" spans="1:10" x14ac:dyDescent="0.35">
      <c r="A994" t="s">
        <v>1024</v>
      </c>
      <c r="B994" s="2">
        <v>43287</v>
      </c>
      <c r="C994" t="s">
        <v>30</v>
      </c>
      <c r="D994" t="s">
        <v>16</v>
      </c>
      <c r="E994" s="1">
        <v>4</v>
      </c>
      <c r="F994" s="1">
        <v>16</v>
      </c>
      <c r="G994" s="1">
        <v>64</v>
      </c>
      <c r="H994" s="1">
        <v>7.0000000000000007E-2</v>
      </c>
      <c r="I994" s="1">
        <v>4</v>
      </c>
      <c r="J994" t="s">
        <v>43</v>
      </c>
    </row>
    <row r="995" spans="1:10" x14ac:dyDescent="0.35">
      <c r="A995" t="s">
        <v>1025</v>
      </c>
      <c r="B995" s="2">
        <v>43287</v>
      </c>
      <c r="C995" t="s">
        <v>30</v>
      </c>
      <c r="D995" t="s">
        <v>12</v>
      </c>
      <c r="E995" s="1">
        <v>16</v>
      </c>
      <c r="F995" s="1">
        <v>16</v>
      </c>
      <c r="G995" s="1">
        <v>256</v>
      </c>
      <c r="H995" s="1">
        <v>0.03</v>
      </c>
      <c r="I995" s="1">
        <v>8</v>
      </c>
      <c r="J995" t="s">
        <v>13</v>
      </c>
    </row>
    <row r="996" spans="1:10" x14ac:dyDescent="0.35">
      <c r="A996" t="s">
        <v>1026</v>
      </c>
      <c r="B996" s="2">
        <v>43287</v>
      </c>
      <c r="C996" t="s">
        <v>15</v>
      </c>
      <c r="D996" t="s">
        <v>27</v>
      </c>
      <c r="E996" s="1">
        <v>18</v>
      </c>
      <c r="F996" s="1">
        <v>40</v>
      </c>
      <c r="G996" s="1">
        <v>720</v>
      </c>
      <c r="H996" s="1">
        <v>0.04</v>
      </c>
      <c r="I996" s="1">
        <v>29</v>
      </c>
      <c r="J996" t="s">
        <v>17</v>
      </c>
    </row>
    <row r="997" spans="1:10" x14ac:dyDescent="0.35">
      <c r="A997" t="s">
        <v>1027</v>
      </c>
      <c r="B997" s="2">
        <v>43287</v>
      </c>
      <c r="C997" t="s">
        <v>11</v>
      </c>
      <c r="D997" t="s">
        <v>27</v>
      </c>
      <c r="E997" s="1">
        <v>21</v>
      </c>
      <c r="F997" s="1">
        <v>80</v>
      </c>
      <c r="G997" s="1">
        <v>1680</v>
      </c>
      <c r="H997" s="1">
        <v>0.02</v>
      </c>
      <c r="I997" s="1">
        <v>34</v>
      </c>
      <c r="J997" t="s">
        <v>20</v>
      </c>
    </row>
    <row r="998" spans="1:10" x14ac:dyDescent="0.35">
      <c r="A998" t="s">
        <v>1028</v>
      </c>
      <c r="B998" s="2">
        <v>43287</v>
      </c>
      <c r="C998" t="s">
        <v>11</v>
      </c>
      <c r="D998" t="s">
        <v>31</v>
      </c>
      <c r="E998" s="1">
        <v>10</v>
      </c>
      <c r="F998" s="1">
        <v>80</v>
      </c>
      <c r="G998" s="1">
        <v>800</v>
      </c>
      <c r="H998" s="1">
        <v>0.06</v>
      </c>
      <c r="I998" s="1">
        <v>48</v>
      </c>
      <c r="J998" t="s">
        <v>22</v>
      </c>
    </row>
    <row r="999" spans="1:10" x14ac:dyDescent="0.35">
      <c r="A999" t="s">
        <v>1029</v>
      </c>
      <c r="B999" s="2">
        <v>43287</v>
      </c>
      <c r="C999" t="s">
        <v>19</v>
      </c>
      <c r="D999" t="s">
        <v>24</v>
      </c>
      <c r="E999" s="1">
        <v>7</v>
      </c>
      <c r="F999" s="1">
        <v>230</v>
      </c>
      <c r="G999" s="1">
        <v>1610</v>
      </c>
      <c r="H999" s="1">
        <v>0.01</v>
      </c>
      <c r="I999" s="1">
        <v>16</v>
      </c>
      <c r="J999" t="s">
        <v>25</v>
      </c>
    </row>
    <row r="1000" spans="1:10" x14ac:dyDescent="0.35">
      <c r="A1000" t="s">
        <v>1030</v>
      </c>
      <c r="B1000" s="2">
        <v>43288</v>
      </c>
      <c r="C1000" t="s">
        <v>30</v>
      </c>
      <c r="D1000" t="s">
        <v>31</v>
      </c>
      <c r="E1000" s="1">
        <v>11</v>
      </c>
      <c r="F1000" s="1">
        <v>16</v>
      </c>
      <c r="G1000" s="1">
        <v>176</v>
      </c>
      <c r="H1000" s="1">
        <v>0.12</v>
      </c>
      <c r="I1000" s="1">
        <v>21</v>
      </c>
      <c r="J1000" t="s">
        <v>28</v>
      </c>
    </row>
    <row r="1001" spans="1:10" x14ac:dyDescent="0.35">
      <c r="A1001" t="s">
        <v>1031</v>
      </c>
      <c r="B1001" s="2">
        <v>43288</v>
      </c>
      <c r="C1001" t="s">
        <v>11</v>
      </c>
      <c r="D1001" t="s">
        <v>27</v>
      </c>
      <c r="E1001" s="1">
        <v>10</v>
      </c>
      <c r="F1001" s="1">
        <v>80</v>
      </c>
      <c r="G1001" s="1">
        <v>800</v>
      </c>
      <c r="H1001" s="1">
        <v>0.1</v>
      </c>
      <c r="I1001" s="1">
        <v>80</v>
      </c>
      <c r="J1001" t="s">
        <v>17</v>
      </c>
    </row>
    <row r="1002" spans="1:10" x14ac:dyDescent="0.35">
      <c r="A1002" t="s">
        <v>1032</v>
      </c>
      <c r="B1002" s="2">
        <v>43288</v>
      </c>
      <c r="C1002" t="s">
        <v>15</v>
      </c>
      <c r="D1002" t="s">
        <v>16</v>
      </c>
      <c r="E1002" s="1">
        <v>23</v>
      </c>
      <c r="F1002" s="1">
        <v>40</v>
      </c>
      <c r="G1002" s="1">
        <v>920</v>
      </c>
      <c r="H1002" s="1">
        <v>0.06</v>
      </c>
      <c r="I1002" s="1">
        <v>55</v>
      </c>
      <c r="J1002" t="s">
        <v>20</v>
      </c>
    </row>
    <row r="1003" spans="1:10" x14ac:dyDescent="0.35">
      <c r="A1003" t="s">
        <v>1033</v>
      </c>
      <c r="B1003" s="2">
        <v>43288</v>
      </c>
      <c r="C1003" t="s">
        <v>34</v>
      </c>
      <c r="D1003" t="s">
        <v>31</v>
      </c>
      <c r="E1003" s="1">
        <v>7</v>
      </c>
      <c r="F1003" s="1">
        <v>150</v>
      </c>
      <c r="G1003" s="1">
        <v>1050</v>
      </c>
      <c r="H1003" s="1">
        <v>0.02</v>
      </c>
      <c r="I1003" s="1">
        <v>21</v>
      </c>
      <c r="J1003" t="s">
        <v>22</v>
      </c>
    </row>
    <row r="1004" spans="1:10" x14ac:dyDescent="0.35">
      <c r="A1004" t="s">
        <v>1034</v>
      </c>
      <c r="B1004" s="2">
        <v>43288</v>
      </c>
      <c r="C1004" t="s">
        <v>11</v>
      </c>
      <c r="D1004" t="s">
        <v>12</v>
      </c>
      <c r="E1004" s="1">
        <v>17</v>
      </c>
      <c r="F1004" s="1">
        <v>80</v>
      </c>
      <c r="G1004" s="1">
        <v>1360</v>
      </c>
      <c r="H1004" s="1">
        <v>7.0000000000000007E-2</v>
      </c>
      <c r="I1004" s="1">
        <v>95</v>
      </c>
      <c r="J1004" t="s">
        <v>25</v>
      </c>
    </row>
    <row r="1005" spans="1:10" x14ac:dyDescent="0.35">
      <c r="A1005" t="s">
        <v>1035</v>
      </c>
      <c r="B1005" s="2">
        <v>43288</v>
      </c>
      <c r="C1005" t="s">
        <v>34</v>
      </c>
      <c r="D1005" t="s">
        <v>16</v>
      </c>
      <c r="E1005" s="1">
        <v>20</v>
      </c>
      <c r="F1005" s="1">
        <v>150</v>
      </c>
      <c r="G1005" s="1">
        <v>3000</v>
      </c>
      <c r="H1005" s="1">
        <v>0.09</v>
      </c>
      <c r="I1005" s="1">
        <v>270</v>
      </c>
      <c r="J1005" t="s">
        <v>28</v>
      </c>
    </row>
    <row r="1006" spans="1:10" x14ac:dyDescent="0.35">
      <c r="A1006" t="s">
        <v>1036</v>
      </c>
      <c r="B1006" s="2">
        <v>43288</v>
      </c>
      <c r="C1006" t="s">
        <v>19</v>
      </c>
      <c r="D1006" t="s">
        <v>27</v>
      </c>
      <c r="E1006" s="1">
        <v>23</v>
      </c>
      <c r="F1006" s="1">
        <v>230</v>
      </c>
      <c r="G1006" s="1">
        <v>5290</v>
      </c>
      <c r="H1006" s="1">
        <v>0.06</v>
      </c>
      <c r="I1006" s="1">
        <v>317</v>
      </c>
      <c r="J1006" t="s">
        <v>32</v>
      </c>
    </row>
    <row r="1007" spans="1:10" x14ac:dyDescent="0.35">
      <c r="A1007" t="s">
        <v>1037</v>
      </c>
      <c r="B1007" s="2">
        <v>43288</v>
      </c>
      <c r="C1007" t="s">
        <v>11</v>
      </c>
      <c r="D1007" t="s">
        <v>16</v>
      </c>
      <c r="E1007" s="1">
        <v>16</v>
      </c>
      <c r="F1007" s="1">
        <v>80</v>
      </c>
      <c r="G1007" s="1">
        <v>1280</v>
      </c>
      <c r="H1007" s="1">
        <v>0.04</v>
      </c>
      <c r="I1007" s="1">
        <v>51</v>
      </c>
      <c r="J1007" t="s">
        <v>35</v>
      </c>
    </row>
    <row r="1008" spans="1:10" x14ac:dyDescent="0.35">
      <c r="A1008" t="s">
        <v>1038</v>
      </c>
      <c r="B1008" s="2">
        <v>43288</v>
      </c>
      <c r="C1008" t="s">
        <v>19</v>
      </c>
      <c r="D1008" t="s">
        <v>31</v>
      </c>
      <c r="E1008" s="1">
        <v>22</v>
      </c>
      <c r="F1008" s="1">
        <v>230</v>
      </c>
      <c r="G1008" s="1">
        <v>5060</v>
      </c>
      <c r="H1008" s="1">
        <v>0.1</v>
      </c>
      <c r="I1008" s="1">
        <v>506</v>
      </c>
      <c r="J1008" t="s">
        <v>37</v>
      </c>
    </row>
    <row r="1009" spans="1:10" x14ac:dyDescent="0.35">
      <c r="A1009" t="s">
        <v>1039</v>
      </c>
      <c r="B1009" s="2">
        <v>43288</v>
      </c>
      <c r="C1009" t="s">
        <v>19</v>
      </c>
      <c r="D1009" t="s">
        <v>24</v>
      </c>
      <c r="E1009" s="1">
        <v>15</v>
      </c>
      <c r="F1009" s="1">
        <v>230</v>
      </c>
      <c r="G1009" s="1">
        <v>3450</v>
      </c>
      <c r="H1009" s="1">
        <v>0.11</v>
      </c>
      <c r="I1009" s="1">
        <v>380</v>
      </c>
      <c r="J1009" t="s">
        <v>39</v>
      </c>
    </row>
    <row r="1010" spans="1:10" x14ac:dyDescent="0.35">
      <c r="A1010" t="s">
        <v>1040</v>
      </c>
      <c r="B1010" s="2">
        <v>43288</v>
      </c>
      <c r="C1010" t="s">
        <v>15</v>
      </c>
      <c r="D1010" t="s">
        <v>16</v>
      </c>
      <c r="E1010" s="1">
        <v>15</v>
      </c>
      <c r="F1010" s="1">
        <v>40</v>
      </c>
      <c r="G1010" s="1">
        <v>600</v>
      </c>
      <c r="H1010" s="1">
        <v>0.04</v>
      </c>
      <c r="I1010" s="1">
        <v>24</v>
      </c>
      <c r="J1010" t="s">
        <v>41</v>
      </c>
    </row>
    <row r="1011" spans="1:10" x14ac:dyDescent="0.35">
      <c r="A1011" t="s">
        <v>1041</v>
      </c>
      <c r="B1011" s="2">
        <v>43288</v>
      </c>
      <c r="C1011" t="s">
        <v>11</v>
      </c>
      <c r="D1011" t="s">
        <v>16</v>
      </c>
      <c r="E1011" s="1">
        <v>2</v>
      </c>
      <c r="F1011" s="1">
        <v>80</v>
      </c>
      <c r="G1011" s="1">
        <v>160</v>
      </c>
      <c r="H1011" s="1">
        <v>7.0000000000000007E-2</v>
      </c>
      <c r="I1011" s="1">
        <v>11</v>
      </c>
      <c r="J1011" t="s">
        <v>43</v>
      </c>
    </row>
    <row r="1012" spans="1:10" x14ac:dyDescent="0.35">
      <c r="A1012" t="s">
        <v>1042</v>
      </c>
      <c r="B1012" s="2">
        <v>43289</v>
      </c>
      <c r="C1012" t="s">
        <v>34</v>
      </c>
      <c r="D1012" t="s">
        <v>12</v>
      </c>
      <c r="E1012" s="1">
        <v>22</v>
      </c>
      <c r="F1012" s="1">
        <v>150</v>
      </c>
      <c r="G1012" s="1">
        <v>3300</v>
      </c>
      <c r="H1012" s="1">
        <v>0.05</v>
      </c>
      <c r="I1012" s="1">
        <v>165</v>
      </c>
      <c r="J1012" t="s">
        <v>13</v>
      </c>
    </row>
    <row r="1013" spans="1:10" x14ac:dyDescent="0.35">
      <c r="A1013" t="s">
        <v>1043</v>
      </c>
      <c r="B1013" s="2">
        <v>43289</v>
      </c>
      <c r="C1013" t="s">
        <v>15</v>
      </c>
      <c r="D1013" t="s">
        <v>31</v>
      </c>
      <c r="E1013" s="1">
        <v>20</v>
      </c>
      <c r="F1013" s="1">
        <v>40</v>
      </c>
      <c r="G1013" s="1">
        <v>800</v>
      </c>
      <c r="H1013" s="1">
        <v>7.0000000000000007E-2</v>
      </c>
      <c r="I1013" s="1">
        <v>56</v>
      </c>
      <c r="J1013" t="s">
        <v>17</v>
      </c>
    </row>
    <row r="1014" spans="1:10" x14ac:dyDescent="0.35">
      <c r="A1014" t="s">
        <v>1044</v>
      </c>
      <c r="B1014" s="2">
        <v>43289</v>
      </c>
      <c r="C1014" t="s">
        <v>19</v>
      </c>
      <c r="D1014" t="s">
        <v>27</v>
      </c>
      <c r="E1014" s="1">
        <v>2</v>
      </c>
      <c r="F1014" s="1">
        <v>230</v>
      </c>
      <c r="G1014" s="1">
        <v>460</v>
      </c>
      <c r="H1014" s="1">
        <v>0.09</v>
      </c>
      <c r="I1014" s="1">
        <v>41</v>
      </c>
      <c r="J1014" t="s">
        <v>20</v>
      </c>
    </row>
    <row r="1015" spans="1:10" x14ac:dyDescent="0.35">
      <c r="A1015" t="s">
        <v>1045</v>
      </c>
      <c r="B1015" s="2">
        <v>43289</v>
      </c>
      <c r="C1015" t="s">
        <v>15</v>
      </c>
      <c r="D1015" t="s">
        <v>27</v>
      </c>
      <c r="E1015" s="1">
        <v>7</v>
      </c>
      <c r="F1015" s="1">
        <v>40</v>
      </c>
      <c r="G1015" s="1">
        <v>280</v>
      </c>
      <c r="H1015" s="1">
        <v>0.11</v>
      </c>
      <c r="I1015" s="1">
        <v>31</v>
      </c>
      <c r="J1015" t="s">
        <v>22</v>
      </c>
    </row>
    <row r="1016" spans="1:10" x14ac:dyDescent="0.35">
      <c r="A1016" t="s">
        <v>1046</v>
      </c>
      <c r="B1016" s="2">
        <v>43289</v>
      </c>
      <c r="C1016" t="s">
        <v>15</v>
      </c>
      <c r="D1016" t="s">
        <v>27</v>
      </c>
      <c r="E1016" s="1">
        <v>9</v>
      </c>
      <c r="F1016" s="1">
        <v>40</v>
      </c>
      <c r="G1016" s="1">
        <v>360</v>
      </c>
      <c r="H1016" s="1">
        <v>0.06</v>
      </c>
      <c r="I1016" s="1">
        <v>22</v>
      </c>
      <c r="J1016" t="s">
        <v>28</v>
      </c>
    </row>
    <row r="1017" spans="1:10" x14ac:dyDescent="0.35">
      <c r="A1017" t="s">
        <v>1047</v>
      </c>
      <c r="B1017" s="2">
        <v>43289</v>
      </c>
      <c r="C1017" t="s">
        <v>15</v>
      </c>
      <c r="D1017" t="s">
        <v>12</v>
      </c>
      <c r="E1017" s="1">
        <v>18</v>
      </c>
      <c r="F1017" s="1">
        <v>40</v>
      </c>
      <c r="G1017" s="1">
        <v>720</v>
      </c>
      <c r="H1017" s="1">
        <v>0.11</v>
      </c>
      <c r="I1017" s="1">
        <v>79</v>
      </c>
      <c r="J1017" t="s">
        <v>17</v>
      </c>
    </row>
    <row r="1018" spans="1:10" x14ac:dyDescent="0.35">
      <c r="A1018" t="s">
        <v>1048</v>
      </c>
      <c r="B1018" s="2">
        <v>43289</v>
      </c>
      <c r="C1018" t="s">
        <v>19</v>
      </c>
      <c r="D1018" t="s">
        <v>12</v>
      </c>
      <c r="E1018" s="1">
        <v>20</v>
      </c>
      <c r="F1018" s="1">
        <v>230</v>
      </c>
      <c r="G1018" s="1">
        <v>4600</v>
      </c>
      <c r="H1018" s="1">
        <v>0.04</v>
      </c>
      <c r="I1018" s="1">
        <v>184</v>
      </c>
      <c r="J1018" t="s">
        <v>20</v>
      </c>
    </row>
    <row r="1019" spans="1:10" x14ac:dyDescent="0.35">
      <c r="A1019" t="s">
        <v>1049</v>
      </c>
      <c r="B1019" s="2">
        <v>43289</v>
      </c>
      <c r="C1019" t="s">
        <v>11</v>
      </c>
      <c r="D1019" t="s">
        <v>24</v>
      </c>
      <c r="E1019" s="1">
        <v>23</v>
      </c>
      <c r="F1019" s="1">
        <v>80</v>
      </c>
      <c r="G1019" s="1">
        <v>1840</v>
      </c>
      <c r="H1019" s="1">
        <v>0.05</v>
      </c>
      <c r="I1019" s="1">
        <v>92</v>
      </c>
      <c r="J1019" t="s">
        <v>22</v>
      </c>
    </row>
    <row r="1020" spans="1:10" x14ac:dyDescent="0.35">
      <c r="A1020" t="s">
        <v>1050</v>
      </c>
      <c r="B1020" s="2">
        <v>43289</v>
      </c>
      <c r="C1020" t="s">
        <v>34</v>
      </c>
      <c r="D1020" t="s">
        <v>31</v>
      </c>
      <c r="E1020" s="1">
        <v>11</v>
      </c>
      <c r="F1020" s="1">
        <v>150</v>
      </c>
      <c r="G1020" s="1">
        <v>1650</v>
      </c>
      <c r="H1020" s="1">
        <v>0.09</v>
      </c>
      <c r="I1020" s="1">
        <v>148</v>
      </c>
      <c r="J1020" t="s">
        <v>25</v>
      </c>
    </row>
    <row r="1021" spans="1:10" x14ac:dyDescent="0.35">
      <c r="A1021" t="s">
        <v>1051</v>
      </c>
      <c r="B1021" s="2">
        <v>43289</v>
      </c>
      <c r="C1021" t="s">
        <v>34</v>
      </c>
      <c r="D1021" t="s">
        <v>12</v>
      </c>
      <c r="E1021" s="1">
        <v>17</v>
      </c>
      <c r="F1021" s="1">
        <v>150</v>
      </c>
      <c r="G1021" s="1">
        <v>2550</v>
      </c>
      <c r="H1021" s="1">
        <v>0.12</v>
      </c>
      <c r="I1021" s="1">
        <v>306</v>
      </c>
      <c r="J1021" t="s">
        <v>28</v>
      </c>
    </row>
    <row r="1022" spans="1:10" x14ac:dyDescent="0.35">
      <c r="A1022" t="s">
        <v>1052</v>
      </c>
      <c r="B1022" s="2">
        <v>43289</v>
      </c>
      <c r="C1022" t="s">
        <v>19</v>
      </c>
      <c r="D1022" t="s">
        <v>31</v>
      </c>
      <c r="E1022" s="1">
        <v>2</v>
      </c>
      <c r="F1022" s="1">
        <v>230</v>
      </c>
      <c r="G1022" s="1">
        <v>460</v>
      </c>
      <c r="H1022" s="1">
        <v>0.08</v>
      </c>
      <c r="I1022" s="1">
        <v>37</v>
      </c>
      <c r="J1022" t="s">
        <v>32</v>
      </c>
    </row>
    <row r="1023" spans="1:10" x14ac:dyDescent="0.35">
      <c r="A1023" t="s">
        <v>1053</v>
      </c>
      <c r="B1023" s="2">
        <v>43289</v>
      </c>
      <c r="C1023" t="s">
        <v>11</v>
      </c>
      <c r="D1023" t="s">
        <v>24</v>
      </c>
      <c r="E1023" s="1">
        <v>10</v>
      </c>
      <c r="F1023" s="1">
        <v>80</v>
      </c>
      <c r="G1023" s="1">
        <v>800</v>
      </c>
      <c r="H1023" s="1">
        <v>0.11</v>
      </c>
      <c r="I1023" s="1">
        <v>88</v>
      </c>
      <c r="J1023" t="s">
        <v>35</v>
      </c>
    </row>
    <row r="1024" spans="1:10" x14ac:dyDescent="0.35">
      <c r="A1024" t="s">
        <v>1054</v>
      </c>
      <c r="B1024" s="2">
        <v>43290</v>
      </c>
      <c r="C1024" t="s">
        <v>30</v>
      </c>
      <c r="D1024" t="s">
        <v>27</v>
      </c>
      <c r="E1024" s="1">
        <v>22</v>
      </c>
      <c r="F1024" s="1">
        <v>16</v>
      </c>
      <c r="G1024" s="1">
        <v>352</v>
      </c>
      <c r="H1024" s="1">
        <v>0.03</v>
      </c>
      <c r="I1024" s="1">
        <v>11</v>
      </c>
      <c r="J1024" t="s">
        <v>37</v>
      </c>
    </row>
    <row r="1025" spans="1:10" x14ac:dyDescent="0.35">
      <c r="A1025" t="s">
        <v>1055</v>
      </c>
      <c r="B1025" s="2">
        <v>43290</v>
      </c>
      <c r="C1025" t="s">
        <v>30</v>
      </c>
      <c r="D1025" t="s">
        <v>24</v>
      </c>
      <c r="E1025" s="1">
        <v>9</v>
      </c>
      <c r="F1025" s="1">
        <v>16</v>
      </c>
      <c r="G1025" s="1">
        <v>144</v>
      </c>
      <c r="H1025" s="1">
        <v>0.05</v>
      </c>
      <c r="I1025" s="1">
        <v>7</v>
      </c>
      <c r="J1025" t="s">
        <v>39</v>
      </c>
    </row>
    <row r="1026" spans="1:10" x14ac:dyDescent="0.35">
      <c r="A1026" t="s">
        <v>1056</v>
      </c>
      <c r="B1026" s="2">
        <v>43290</v>
      </c>
      <c r="C1026" t="s">
        <v>15</v>
      </c>
      <c r="D1026" t="s">
        <v>24</v>
      </c>
      <c r="E1026" s="1">
        <v>4</v>
      </c>
      <c r="F1026" s="1">
        <v>40</v>
      </c>
      <c r="G1026" s="1">
        <v>160</v>
      </c>
      <c r="H1026" s="1">
        <v>0.1</v>
      </c>
      <c r="I1026" s="1">
        <v>16</v>
      </c>
      <c r="J1026" t="s">
        <v>41</v>
      </c>
    </row>
    <row r="1027" spans="1:10" x14ac:dyDescent="0.35">
      <c r="A1027" t="s">
        <v>1057</v>
      </c>
      <c r="B1027" s="2">
        <v>43290</v>
      </c>
      <c r="C1027" t="s">
        <v>11</v>
      </c>
      <c r="D1027" t="s">
        <v>31</v>
      </c>
      <c r="E1027" s="1">
        <v>9</v>
      </c>
      <c r="F1027" s="1">
        <v>80</v>
      </c>
      <c r="G1027" s="1">
        <v>720</v>
      </c>
      <c r="H1027" s="1">
        <v>0.02</v>
      </c>
      <c r="I1027" s="1">
        <v>14</v>
      </c>
      <c r="J1027" t="s">
        <v>43</v>
      </c>
    </row>
    <row r="1028" spans="1:10" x14ac:dyDescent="0.35">
      <c r="A1028" t="s">
        <v>1058</v>
      </c>
      <c r="B1028" s="2">
        <v>43290</v>
      </c>
      <c r="C1028" t="s">
        <v>19</v>
      </c>
      <c r="D1028" t="s">
        <v>24</v>
      </c>
      <c r="E1028" s="1">
        <v>6</v>
      </c>
      <c r="F1028" s="1">
        <v>230</v>
      </c>
      <c r="G1028" s="1">
        <v>1380</v>
      </c>
      <c r="H1028" s="1">
        <v>0.05</v>
      </c>
      <c r="I1028" s="1">
        <v>69</v>
      </c>
      <c r="J1028" t="s">
        <v>13</v>
      </c>
    </row>
    <row r="1029" spans="1:10" x14ac:dyDescent="0.35">
      <c r="A1029" t="s">
        <v>1059</v>
      </c>
      <c r="B1029" s="2">
        <v>43290</v>
      </c>
      <c r="C1029" t="s">
        <v>11</v>
      </c>
      <c r="D1029" t="s">
        <v>27</v>
      </c>
      <c r="E1029" s="1">
        <v>14</v>
      </c>
      <c r="F1029" s="1">
        <v>80</v>
      </c>
      <c r="G1029" s="1">
        <v>1120</v>
      </c>
      <c r="H1029" s="1">
        <v>0.05</v>
      </c>
      <c r="I1029" s="1">
        <v>56</v>
      </c>
      <c r="J1029" t="s">
        <v>17</v>
      </c>
    </row>
    <row r="1030" spans="1:10" x14ac:dyDescent="0.35">
      <c r="A1030" t="s">
        <v>1060</v>
      </c>
      <c r="B1030" s="2">
        <v>43290</v>
      </c>
      <c r="C1030" t="s">
        <v>30</v>
      </c>
      <c r="D1030" t="s">
        <v>31</v>
      </c>
      <c r="E1030" s="1">
        <v>17</v>
      </c>
      <c r="F1030" s="1">
        <v>16</v>
      </c>
      <c r="G1030" s="1">
        <v>272</v>
      </c>
      <c r="H1030" s="1">
        <v>0.08</v>
      </c>
      <c r="I1030" s="1">
        <v>22</v>
      </c>
      <c r="J1030" t="s">
        <v>20</v>
      </c>
    </row>
    <row r="1031" spans="1:10" x14ac:dyDescent="0.35">
      <c r="A1031" t="s">
        <v>1061</v>
      </c>
      <c r="B1031" s="2">
        <v>43290</v>
      </c>
      <c r="C1031" t="s">
        <v>34</v>
      </c>
      <c r="D1031" t="s">
        <v>16</v>
      </c>
      <c r="E1031" s="1">
        <v>22</v>
      </c>
      <c r="F1031" s="1">
        <v>150</v>
      </c>
      <c r="G1031" s="1">
        <v>3300</v>
      </c>
      <c r="H1031" s="1">
        <v>0.02</v>
      </c>
      <c r="I1031" s="1">
        <v>66</v>
      </c>
      <c r="J1031" t="s">
        <v>22</v>
      </c>
    </row>
    <row r="1032" spans="1:10" x14ac:dyDescent="0.35">
      <c r="A1032" t="s">
        <v>1062</v>
      </c>
      <c r="B1032" s="2">
        <v>43290</v>
      </c>
      <c r="C1032" t="s">
        <v>15</v>
      </c>
      <c r="D1032" t="s">
        <v>31</v>
      </c>
      <c r="E1032" s="1">
        <v>17</v>
      </c>
      <c r="F1032" s="1">
        <v>40</v>
      </c>
      <c r="G1032" s="1">
        <v>680</v>
      </c>
      <c r="H1032" s="1">
        <v>0.02</v>
      </c>
      <c r="I1032" s="1">
        <v>14</v>
      </c>
      <c r="J1032" t="s">
        <v>25</v>
      </c>
    </row>
    <row r="1033" spans="1:10" x14ac:dyDescent="0.35">
      <c r="A1033" t="s">
        <v>1063</v>
      </c>
      <c r="B1033" s="2">
        <v>43290</v>
      </c>
      <c r="C1033" t="s">
        <v>11</v>
      </c>
      <c r="D1033" t="s">
        <v>31</v>
      </c>
      <c r="E1033" s="1">
        <v>17</v>
      </c>
      <c r="F1033" s="1">
        <v>80</v>
      </c>
      <c r="G1033" s="1">
        <v>1360</v>
      </c>
      <c r="H1033" s="1">
        <v>7.0000000000000007E-2</v>
      </c>
      <c r="I1033" s="1">
        <v>95</v>
      </c>
      <c r="J1033" t="s">
        <v>28</v>
      </c>
    </row>
    <row r="1034" spans="1:10" x14ac:dyDescent="0.35">
      <c r="A1034" t="s">
        <v>1064</v>
      </c>
      <c r="B1034" s="2">
        <v>43290</v>
      </c>
      <c r="C1034" t="s">
        <v>34</v>
      </c>
      <c r="D1034" t="s">
        <v>27</v>
      </c>
      <c r="E1034" s="1">
        <v>4</v>
      </c>
      <c r="F1034" s="1">
        <v>150</v>
      </c>
      <c r="G1034" s="1">
        <v>600</v>
      </c>
      <c r="H1034" s="1">
        <v>0.12</v>
      </c>
      <c r="I1034" s="1">
        <v>72</v>
      </c>
      <c r="J1034" t="s">
        <v>17</v>
      </c>
    </row>
    <row r="1035" spans="1:10" x14ac:dyDescent="0.35">
      <c r="A1035" t="s">
        <v>1065</v>
      </c>
      <c r="B1035" s="2">
        <v>43290</v>
      </c>
      <c r="C1035" t="s">
        <v>30</v>
      </c>
      <c r="D1035" t="s">
        <v>27</v>
      </c>
      <c r="E1035" s="1">
        <v>14</v>
      </c>
      <c r="F1035" s="1">
        <v>16</v>
      </c>
      <c r="G1035" s="1">
        <v>224</v>
      </c>
      <c r="H1035" s="1">
        <v>0.12</v>
      </c>
      <c r="I1035" s="1">
        <v>27</v>
      </c>
      <c r="J1035" t="s">
        <v>20</v>
      </c>
    </row>
    <row r="1036" spans="1:10" x14ac:dyDescent="0.35">
      <c r="A1036" t="s">
        <v>1066</v>
      </c>
      <c r="B1036" s="2">
        <v>43290</v>
      </c>
      <c r="C1036" t="s">
        <v>30</v>
      </c>
      <c r="D1036" t="s">
        <v>12</v>
      </c>
      <c r="E1036" s="1">
        <v>18</v>
      </c>
      <c r="F1036" s="1">
        <v>16</v>
      </c>
      <c r="G1036" s="1">
        <v>288</v>
      </c>
      <c r="H1036" s="1">
        <v>0.11</v>
      </c>
      <c r="I1036" s="1">
        <v>32</v>
      </c>
      <c r="J1036" t="s">
        <v>22</v>
      </c>
    </row>
    <row r="1037" spans="1:10" x14ac:dyDescent="0.35">
      <c r="A1037" t="s">
        <v>1067</v>
      </c>
      <c r="B1037" s="2">
        <v>43290</v>
      </c>
      <c r="C1037" t="s">
        <v>11</v>
      </c>
      <c r="D1037" t="s">
        <v>31</v>
      </c>
      <c r="E1037" s="1">
        <v>22</v>
      </c>
      <c r="F1037" s="1">
        <v>80</v>
      </c>
      <c r="G1037" s="1">
        <v>1760</v>
      </c>
      <c r="H1037" s="1">
        <v>0.09</v>
      </c>
      <c r="I1037" s="1">
        <v>158</v>
      </c>
      <c r="J1037" t="s">
        <v>25</v>
      </c>
    </row>
    <row r="1038" spans="1:10" x14ac:dyDescent="0.35">
      <c r="A1038" t="s">
        <v>1068</v>
      </c>
      <c r="B1038" s="2">
        <v>43290</v>
      </c>
      <c r="C1038" t="s">
        <v>19</v>
      </c>
      <c r="D1038" t="s">
        <v>16</v>
      </c>
      <c r="E1038" s="1">
        <v>12</v>
      </c>
      <c r="F1038" s="1">
        <v>230</v>
      </c>
      <c r="G1038" s="1">
        <v>2760</v>
      </c>
      <c r="H1038" s="1">
        <v>0.03</v>
      </c>
      <c r="I1038" s="1">
        <v>83</v>
      </c>
      <c r="J1038" t="s">
        <v>28</v>
      </c>
    </row>
    <row r="1039" spans="1:10" x14ac:dyDescent="0.35">
      <c r="A1039" t="s">
        <v>1069</v>
      </c>
      <c r="B1039" s="2">
        <v>43290</v>
      </c>
      <c r="C1039" t="s">
        <v>15</v>
      </c>
      <c r="D1039" t="s">
        <v>16</v>
      </c>
      <c r="E1039" s="1">
        <v>12</v>
      </c>
      <c r="F1039" s="1">
        <v>40</v>
      </c>
      <c r="G1039" s="1">
        <v>480</v>
      </c>
      <c r="H1039" s="1">
        <v>0.1</v>
      </c>
      <c r="I1039" s="1">
        <v>48</v>
      </c>
      <c r="J1039" t="s">
        <v>32</v>
      </c>
    </row>
    <row r="1040" spans="1:10" x14ac:dyDescent="0.35">
      <c r="A1040" t="s">
        <v>1070</v>
      </c>
      <c r="B1040" s="2">
        <v>43291</v>
      </c>
      <c r="C1040" t="s">
        <v>15</v>
      </c>
      <c r="D1040" t="s">
        <v>31</v>
      </c>
      <c r="E1040" s="1">
        <v>7</v>
      </c>
      <c r="F1040" s="1">
        <v>40</v>
      </c>
      <c r="G1040" s="1">
        <v>280</v>
      </c>
      <c r="H1040" s="1">
        <v>0.12</v>
      </c>
      <c r="I1040" s="1">
        <v>34</v>
      </c>
      <c r="J1040" t="s">
        <v>35</v>
      </c>
    </row>
    <row r="1041" spans="1:10" x14ac:dyDescent="0.35">
      <c r="A1041" t="s">
        <v>1071</v>
      </c>
      <c r="B1041" s="2">
        <v>43291</v>
      </c>
      <c r="C1041" t="s">
        <v>11</v>
      </c>
      <c r="D1041" t="s">
        <v>12</v>
      </c>
      <c r="E1041" s="1">
        <v>12</v>
      </c>
      <c r="F1041" s="1">
        <v>80</v>
      </c>
      <c r="G1041" s="1">
        <v>960</v>
      </c>
      <c r="H1041" s="1">
        <v>0.04</v>
      </c>
      <c r="I1041" s="1">
        <v>38</v>
      </c>
      <c r="J1041" t="s">
        <v>37</v>
      </c>
    </row>
    <row r="1042" spans="1:10" x14ac:dyDescent="0.35">
      <c r="A1042" t="s">
        <v>1072</v>
      </c>
      <c r="B1042" s="2">
        <v>43291</v>
      </c>
      <c r="C1042" t="s">
        <v>30</v>
      </c>
      <c r="D1042" t="s">
        <v>31</v>
      </c>
      <c r="E1042" s="1">
        <v>17</v>
      </c>
      <c r="F1042" s="1">
        <v>16</v>
      </c>
      <c r="G1042" s="1">
        <v>272</v>
      </c>
      <c r="H1042" s="1">
        <v>0.1</v>
      </c>
      <c r="I1042" s="1">
        <v>27</v>
      </c>
      <c r="J1042" t="s">
        <v>39</v>
      </c>
    </row>
    <row r="1043" spans="1:10" x14ac:dyDescent="0.35">
      <c r="A1043" t="s">
        <v>1073</v>
      </c>
      <c r="B1043" s="2">
        <v>43291</v>
      </c>
      <c r="C1043" t="s">
        <v>19</v>
      </c>
      <c r="D1043" t="s">
        <v>16</v>
      </c>
      <c r="E1043" s="1">
        <v>6</v>
      </c>
      <c r="F1043" s="1">
        <v>230</v>
      </c>
      <c r="G1043" s="1">
        <v>1380</v>
      </c>
      <c r="H1043" s="1">
        <v>0.1</v>
      </c>
      <c r="I1043" s="1">
        <v>138</v>
      </c>
      <c r="J1043" t="s">
        <v>41</v>
      </c>
    </row>
    <row r="1044" spans="1:10" x14ac:dyDescent="0.35">
      <c r="A1044" t="s">
        <v>1074</v>
      </c>
      <c r="B1044" s="2">
        <v>43291</v>
      </c>
      <c r="C1044" t="s">
        <v>15</v>
      </c>
      <c r="D1044" t="s">
        <v>12</v>
      </c>
      <c r="E1044" s="1">
        <v>11</v>
      </c>
      <c r="F1044" s="1">
        <v>40</v>
      </c>
      <c r="G1044" s="1">
        <v>440</v>
      </c>
      <c r="H1044" s="1">
        <v>0.04</v>
      </c>
      <c r="I1044" s="1">
        <v>18</v>
      </c>
      <c r="J1044" t="s">
        <v>43</v>
      </c>
    </row>
    <row r="1045" spans="1:10" x14ac:dyDescent="0.35">
      <c r="A1045" t="s">
        <v>1075</v>
      </c>
      <c r="B1045" s="2">
        <v>43291</v>
      </c>
      <c r="C1045" t="s">
        <v>30</v>
      </c>
      <c r="D1045" t="s">
        <v>27</v>
      </c>
      <c r="E1045" s="1">
        <v>10</v>
      </c>
      <c r="F1045" s="1">
        <v>16</v>
      </c>
      <c r="G1045" s="1">
        <v>160</v>
      </c>
      <c r="H1045" s="1">
        <v>0.04</v>
      </c>
      <c r="I1045" s="1">
        <v>6</v>
      </c>
      <c r="J1045" t="s">
        <v>13</v>
      </c>
    </row>
    <row r="1046" spans="1:10" x14ac:dyDescent="0.35">
      <c r="A1046" t="s">
        <v>1076</v>
      </c>
      <c r="B1046" s="2">
        <v>43291</v>
      </c>
      <c r="C1046" t="s">
        <v>11</v>
      </c>
      <c r="D1046" t="s">
        <v>12</v>
      </c>
      <c r="E1046" s="1">
        <v>6</v>
      </c>
      <c r="F1046" s="1">
        <v>80</v>
      </c>
      <c r="G1046" s="1">
        <v>480</v>
      </c>
      <c r="H1046" s="1">
        <v>7.0000000000000007E-2</v>
      </c>
      <c r="I1046" s="1">
        <v>34</v>
      </c>
      <c r="J1046" t="s">
        <v>17</v>
      </c>
    </row>
    <row r="1047" spans="1:10" x14ac:dyDescent="0.35">
      <c r="A1047" t="s">
        <v>1077</v>
      </c>
      <c r="B1047" s="2">
        <v>43291</v>
      </c>
      <c r="C1047" t="s">
        <v>15</v>
      </c>
      <c r="D1047" t="s">
        <v>27</v>
      </c>
      <c r="E1047" s="1">
        <v>11</v>
      </c>
      <c r="F1047" s="1">
        <v>40</v>
      </c>
      <c r="G1047" s="1">
        <v>440</v>
      </c>
      <c r="H1047" s="1">
        <v>0.09</v>
      </c>
      <c r="I1047" s="1">
        <v>40</v>
      </c>
      <c r="J1047" t="s">
        <v>20</v>
      </c>
    </row>
    <row r="1048" spans="1:10" x14ac:dyDescent="0.35">
      <c r="A1048" t="s">
        <v>1078</v>
      </c>
      <c r="B1048" s="2">
        <v>43291</v>
      </c>
      <c r="C1048" t="s">
        <v>11</v>
      </c>
      <c r="D1048" t="s">
        <v>31</v>
      </c>
      <c r="E1048" s="1">
        <v>16</v>
      </c>
      <c r="F1048" s="1">
        <v>80</v>
      </c>
      <c r="G1048" s="1">
        <v>1280</v>
      </c>
      <c r="H1048" s="1">
        <v>0.09</v>
      </c>
      <c r="I1048" s="1">
        <v>115</v>
      </c>
      <c r="J1048" t="s">
        <v>22</v>
      </c>
    </row>
    <row r="1049" spans="1:10" x14ac:dyDescent="0.35">
      <c r="A1049" t="s">
        <v>1079</v>
      </c>
      <c r="B1049" s="2">
        <v>43291</v>
      </c>
      <c r="C1049" t="s">
        <v>15</v>
      </c>
      <c r="D1049" t="s">
        <v>27</v>
      </c>
      <c r="E1049" s="1">
        <v>13</v>
      </c>
      <c r="F1049" s="1">
        <v>40</v>
      </c>
      <c r="G1049" s="1">
        <v>520</v>
      </c>
      <c r="H1049" s="1">
        <v>0.09</v>
      </c>
      <c r="I1049" s="1">
        <v>47</v>
      </c>
      <c r="J1049" t="s">
        <v>25</v>
      </c>
    </row>
    <row r="1050" spans="1:10" x14ac:dyDescent="0.35">
      <c r="A1050" t="s">
        <v>1080</v>
      </c>
      <c r="B1050" s="2">
        <v>43291</v>
      </c>
      <c r="C1050" t="s">
        <v>19</v>
      </c>
      <c r="D1050" t="s">
        <v>12</v>
      </c>
      <c r="E1050" s="1">
        <v>5</v>
      </c>
      <c r="F1050" s="1">
        <v>230</v>
      </c>
      <c r="G1050" s="1">
        <v>1150</v>
      </c>
      <c r="H1050" s="1">
        <v>0.1</v>
      </c>
      <c r="I1050" s="1">
        <v>115</v>
      </c>
      <c r="J1050" t="s">
        <v>28</v>
      </c>
    </row>
    <row r="1051" spans="1:10" x14ac:dyDescent="0.35">
      <c r="A1051" t="s">
        <v>1081</v>
      </c>
      <c r="B1051" s="2">
        <v>43292</v>
      </c>
      <c r="C1051" t="s">
        <v>15</v>
      </c>
      <c r="D1051" t="s">
        <v>31</v>
      </c>
      <c r="E1051" s="1">
        <v>7</v>
      </c>
      <c r="F1051" s="1">
        <v>40</v>
      </c>
      <c r="G1051" s="1">
        <v>280</v>
      </c>
      <c r="H1051" s="1">
        <v>0.05</v>
      </c>
      <c r="I1051" s="1">
        <v>14</v>
      </c>
      <c r="J1051" t="s">
        <v>17</v>
      </c>
    </row>
    <row r="1052" spans="1:10" x14ac:dyDescent="0.35">
      <c r="A1052" t="s">
        <v>1082</v>
      </c>
      <c r="B1052" s="2">
        <v>43292</v>
      </c>
      <c r="C1052" t="s">
        <v>11</v>
      </c>
      <c r="D1052" t="s">
        <v>24</v>
      </c>
      <c r="E1052" s="1">
        <v>14</v>
      </c>
      <c r="F1052" s="1">
        <v>80</v>
      </c>
      <c r="G1052" s="1">
        <v>1120</v>
      </c>
      <c r="H1052" s="1">
        <v>0.1</v>
      </c>
      <c r="I1052" s="1">
        <v>112</v>
      </c>
      <c r="J1052" t="s">
        <v>20</v>
      </c>
    </row>
    <row r="1053" spans="1:10" x14ac:dyDescent="0.35">
      <c r="A1053" t="s">
        <v>1083</v>
      </c>
      <c r="B1053" s="2">
        <v>43292</v>
      </c>
      <c r="C1053" t="s">
        <v>30</v>
      </c>
      <c r="D1053" t="s">
        <v>31</v>
      </c>
      <c r="E1053" s="1">
        <v>12</v>
      </c>
      <c r="F1053" s="1">
        <v>16</v>
      </c>
      <c r="G1053" s="1">
        <v>192</v>
      </c>
      <c r="H1053" s="1">
        <v>0.04</v>
      </c>
      <c r="I1053" s="1">
        <v>8</v>
      </c>
      <c r="J1053" t="s">
        <v>22</v>
      </c>
    </row>
    <row r="1054" spans="1:10" x14ac:dyDescent="0.35">
      <c r="A1054" t="s">
        <v>1084</v>
      </c>
      <c r="B1054" s="2">
        <v>43292</v>
      </c>
      <c r="C1054" t="s">
        <v>19</v>
      </c>
      <c r="D1054" t="s">
        <v>24</v>
      </c>
      <c r="E1054" s="1">
        <v>14</v>
      </c>
      <c r="F1054" s="1">
        <v>230</v>
      </c>
      <c r="G1054" s="1">
        <v>3220</v>
      </c>
      <c r="H1054" s="1">
        <v>0.03</v>
      </c>
      <c r="I1054" s="1">
        <v>97</v>
      </c>
      <c r="J1054" t="s">
        <v>25</v>
      </c>
    </row>
    <row r="1055" spans="1:10" x14ac:dyDescent="0.35">
      <c r="A1055" t="s">
        <v>1085</v>
      </c>
      <c r="B1055" s="2">
        <v>43292</v>
      </c>
      <c r="C1055" t="s">
        <v>11</v>
      </c>
      <c r="D1055" t="s">
        <v>31</v>
      </c>
      <c r="E1055" s="1">
        <v>21</v>
      </c>
      <c r="F1055" s="1">
        <v>80</v>
      </c>
      <c r="G1055" s="1">
        <v>1680</v>
      </c>
      <c r="H1055" s="1">
        <v>0.09</v>
      </c>
      <c r="I1055" s="1">
        <v>151</v>
      </c>
      <c r="J1055" t="s">
        <v>28</v>
      </c>
    </row>
    <row r="1056" spans="1:10" x14ac:dyDescent="0.35">
      <c r="A1056" t="s">
        <v>1086</v>
      </c>
      <c r="B1056" s="2">
        <v>43292</v>
      </c>
      <c r="C1056" t="s">
        <v>19</v>
      </c>
      <c r="D1056" t="s">
        <v>24</v>
      </c>
      <c r="E1056" s="1">
        <v>5</v>
      </c>
      <c r="F1056" s="1">
        <v>230</v>
      </c>
      <c r="G1056" s="1">
        <v>1150</v>
      </c>
      <c r="H1056" s="1">
        <v>0.1</v>
      </c>
      <c r="I1056" s="1">
        <v>115</v>
      </c>
      <c r="J1056" t="s">
        <v>32</v>
      </c>
    </row>
    <row r="1057" spans="1:10" x14ac:dyDescent="0.35">
      <c r="A1057" t="s">
        <v>1087</v>
      </c>
      <c r="B1057" s="2">
        <v>43292</v>
      </c>
      <c r="C1057" t="s">
        <v>15</v>
      </c>
      <c r="D1057" t="s">
        <v>31</v>
      </c>
      <c r="E1057" s="1">
        <v>16</v>
      </c>
      <c r="F1057" s="1">
        <v>40</v>
      </c>
      <c r="G1057" s="1">
        <v>640</v>
      </c>
      <c r="H1057" s="1">
        <v>0.09</v>
      </c>
      <c r="I1057" s="1">
        <v>58</v>
      </c>
      <c r="J1057" t="s">
        <v>35</v>
      </c>
    </row>
    <row r="1058" spans="1:10" x14ac:dyDescent="0.35">
      <c r="A1058" t="s">
        <v>1088</v>
      </c>
      <c r="B1058" s="2">
        <v>43292</v>
      </c>
      <c r="C1058" t="s">
        <v>34</v>
      </c>
      <c r="D1058" t="s">
        <v>16</v>
      </c>
      <c r="E1058" s="1">
        <v>15</v>
      </c>
      <c r="F1058" s="1">
        <v>150</v>
      </c>
      <c r="G1058" s="1">
        <v>2250</v>
      </c>
      <c r="H1058" s="1">
        <v>0.12</v>
      </c>
      <c r="I1058" s="1">
        <v>270</v>
      </c>
      <c r="J1058" t="s">
        <v>37</v>
      </c>
    </row>
    <row r="1059" spans="1:10" x14ac:dyDescent="0.35">
      <c r="A1059" t="s">
        <v>1089</v>
      </c>
      <c r="B1059" s="2">
        <v>43292</v>
      </c>
      <c r="C1059" t="s">
        <v>30</v>
      </c>
      <c r="D1059" t="s">
        <v>31</v>
      </c>
      <c r="E1059" s="1">
        <v>23</v>
      </c>
      <c r="F1059" s="1">
        <v>16</v>
      </c>
      <c r="G1059" s="1">
        <v>368</v>
      </c>
      <c r="H1059" s="1">
        <v>0.01</v>
      </c>
      <c r="I1059" s="1">
        <v>4</v>
      </c>
      <c r="J1059" t="s">
        <v>39</v>
      </c>
    </row>
    <row r="1060" spans="1:10" x14ac:dyDescent="0.35">
      <c r="A1060" t="s">
        <v>1090</v>
      </c>
      <c r="B1060" s="2">
        <v>43292</v>
      </c>
      <c r="C1060" t="s">
        <v>30</v>
      </c>
      <c r="D1060" t="s">
        <v>16</v>
      </c>
      <c r="E1060" s="1">
        <v>22</v>
      </c>
      <c r="F1060" s="1">
        <v>16</v>
      </c>
      <c r="G1060" s="1">
        <v>352</v>
      </c>
      <c r="H1060" s="1">
        <v>0.04</v>
      </c>
      <c r="I1060" s="1">
        <v>14</v>
      </c>
      <c r="J1060" t="s">
        <v>41</v>
      </c>
    </row>
    <row r="1061" spans="1:10" x14ac:dyDescent="0.35">
      <c r="A1061" t="s">
        <v>1091</v>
      </c>
      <c r="B1061" s="2">
        <v>43292</v>
      </c>
      <c r="C1061" t="s">
        <v>11</v>
      </c>
      <c r="D1061" t="s">
        <v>12</v>
      </c>
      <c r="E1061" s="1">
        <v>20</v>
      </c>
      <c r="F1061" s="1">
        <v>80</v>
      </c>
      <c r="G1061" s="1">
        <v>1600</v>
      </c>
      <c r="H1061" s="1">
        <v>0.01</v>
      </c>
      <c r="I1061" s="1">
        <v>16</v>
      </c>
      <c r="J1061" t="s">
        <v>43</v>
      </c>
    </row>
    <row r="1062" spans="1:10" x14ac:dyDescent="0.35">
      <c r="A1062" t="s">
        <v>1092</v>
      </c>
      <c r="B1062" s="2">
        <v>43292</v>
      </c>
      <c r="C1062" t="s">
        <v>15</v>
      </c>
      <c r="D1062" t="s">
        <v>27</v>
      </c>
      <c r="E1062" s="1">
        <v>6</v>
      </c>
      <c r="F1062" s="1">
        <v>40</v>
      </c>
      <c r="G1062" s="1">
        <v>240</v>
      </c>
      <c r="H1062" s="1">
        <v>7.0000000000000007E-2</v>
      </c>
      <c r="I1062" s="1">
        <v>17</v>
      </c>
      <c r="J1062" t="s">
        <v>13</v>
      </c>
    </row>
    <row r="1063" spans="1:10" x14ac:dyDescent="0.35">
      <c r="A1063" t="s">
        <v>1093</v>
      </c>
      <c r="B1063" s="2">
        <v>43293</v>
      </c>
      <c r="C1063" t="s">
        <v>34</v>
      </c>
      <c r="D1063" t="s">
        <v>16</v>
      </c>
      <c r="E1063" s="1">
        <v>10</v>
      </c>
      <c r="F1063" s="1">
        <v>150</v>
      </c>
      <c r="G1063" s="1">
        <v>1500</v>
      </c>
      <c r="H1063" s="1">
        <v>0.01</v>
      </c>
      <c r="I1063" s="1">
        <v>15</v>
      </c>
      <c r="J1063" t="s">
        <v>17</v>
      </c>
    </row>
    <row r="1064" spans="1:10" x14ac:dyDescent="0.35">
      <c r="A1064" t="s">
        <v>1094</v>
      </c>
      <c r="B1064" s="2">
        <v>43293</v>
      </c>
      <c r="C1064" t="s">
        <v>11</v>
      </c>
      <c r="D1064" t="s">
        <v>27</v>
      </c>
      <c r="E1064" s="1">
        <v>17</v>
      </c>
      <c r="F1064" s="1">
        <v>80</v>
      </c>
      <c r="G1064" s="1">
        <v>1360</v>
      </c>
      <c r="H1064" s="1">
        <v>0.05</v>
      </c>
      <c r="I1064" s="1">
        <v>68</v>
      </c>
      <c r="J1064" t="s">
        <v>20</v>
      </c>
    </row>
    <row r="1065" spans="1:10" x14ac:dyDescent="0.35">
      <c r="A1065" t="s">
        <v>1095</v>
      </c>
      <c r="B1065" s="2">
        <v>43293</v>
      </c>
      <c r="C1065" t="s">
        <v>34</v>
      </c>
      <c r="D1065" t="s">
        <v>12</v>
      </c>
      <c r="E1065" s="1">
        <v>13</v>
      </c>
      <c r="F1065" s="1">
        <v>150</v>
      </c>
      <c r="G1065" s="1">
        <v>1950</v>
      </c>
      <c r="H1065" s="1">
        <v>0.05</v>
      </c>
      <c r="I1065" s="1">
        <v>98</v>
      </c>
      <c r="J1065" t="s">
        <v>22</v>
      </c>
    </row>
    <row r="1066" spans="1:10" x14ac:dyDescent="0.35">
      <c r="A1066" t="s">
        <v>1096</v>
      </c>
      <c r="B1066" s="2">
        <v>43293</v>
      </c>
      <c r="C1066" t="s">
        <v>19</v>
      </c>
      <c r="D1066" t="s">
        <v>27</v>
      </c>
      <c r="E1066" s="1">
        <v>8</v>
      </c>
      <c r="F1066" s="1">
        <v>230</v>
      </c>
      <c r="G1066" s="1">
        <v>1840</v>
      </c>
      <c r="H1066" s="1">
        <v>0.05</v>
      </c>
      <c r="I1066" s="1">
        <v>92</v>
      </c>
      <c r="J1066" t="s">
        <v>25</v>
      </c>
    </row>
    <row r="1067" spans="1:10" x14ac:dyDescent="0.35">
      <c r="A1067" t="s">
        <v>1097</v>
      </c>
      <c r="B1067" s="2">
        <v>43293</v>
      </c>
      <c r="C1067" t="s">
        <v>30</v>
      </c>
      <c r="D1067" t="s">
        <v>12</v>
      </c>
      <c r="E1067" s="1">
        <v>10</v>
      </c>
      <c r="F1067" s="1">
        <v>16</v>
      </c>
      <c r="G1067" s="1">
        <v>160</v>
      </c>
      <c r="H1067" s="1">
        <v>0.08</v>
      </c>
      <c r="I1067" s="1">
        <v>13</v>
      </c>
      <c r="J1067" t="s">
        <v>28</v>
      </c>
    </row>
    <row r="1068" spans="1:10" x14ac:dyDescent="0.35">
      <c r="A1068" t="s">
        <v>1098</v>
      </c>
      <c r="B1068" s="2">
        <v>43293</v>
      </c>
      <c r="C1068" t="s">
        <v>15</v>
      </c>
      <c r="D1068" t="s">
        <v>16</v>
      </c>
      <c r="E1068" s="1">
        <v>4</v>
      </c>
      <c r="F1068" s="1">
        <v>40</v>
      </c>
      <c r="G1068" s="1">
        <v>160</v>
      </c>
      <c r="H1068" s="1">
        <v>0.06</v>
      </c>
      <c r="I1068" s="1">
        <v>10</v>
      </c>
      <c r="J1068" t="s">
        <v>17</v>
      </c>
    </row>
    <row r="1069" spans="1:10" x14ac:dyDescent="0.35">
      <c r="A1069" t="s">
        <v>1099</v>
      </c>
      <c r="B1069" s="2">
        <v>43293</v>
      </c>
      <c r="C1069" t="s">
        <v>15</v>
      </c>
      <c r="D1069" t="s">
        <v>31</v>
      </c>
      <c r="E1069" s="1">
        <v>18</v>
      </c>
      <c r="F1069" s="1">
        <v>40</v>
      </c>
      <c r="G1069" s="1">
        <v>720</v>
      </c>
      <c r="H1069" s="1">
        <v>0.06</v>
      </c>
      <c r="I1069" s="1">
        <v>43</v>
      </c>
      <c r="J1069" t="s">
        <v>20</v>
      </c>
    </row>
    <row r="1070" spans="1:10" x14ac:dyDescent="0.35">
      <c r="A1070" t="s">
        <v>1100</v>
      </c>
      <c r="B1070" s="2">
        <v>43293</v>
      </c>
      <c r="C1070" t="s">
        <v>34</v>
      </c>
      <c r="D1070" t="s">
        <v>27</v>
      </c>
      <c r="E1070" s="1">
        <v>15</v>
      </c>
      <c r="F1070" s="1">
        <v>150</v>
      </c>
      <c r="G1070" s="1">
        <v>2250</v>
      </c>
      <c r="H1070" s="1">
        <v>0.05</v>
      </c>
      <c r="I1070" s="1">
        <v>112</v>
      </c>
      <c r="J1070" t="s">
        <v>22</v>
      </c>
    </row>
    <row r="1071" spans="1:10" x14ac:dyDescent="0.35">
      <c r="A1071" t="s">
        <v>1101</v>
      </c>
      <c r="B1071" s="2">
        <v>43293</v>
      </c>
      <c r="C1071" t="s">
        <v>34</v>
      </c>
      <c r="D1071" t="s">
        <v>27</v>
      </c>
      <c r="E1071" s="1">
        <v>3</v>
      </c>
      <c r="F1071" s="1">
        <v>150</v>
      </c>
      <c r="G1071" s="1">
        <v>450</v>
      </c>
      <c r="H1071" s="1">
        <v>0.01</v>
      </c>
      <c r="I1071" s="1">
        <v>4</v>
      </c>
      <c r="J1071" t="s">
        <v>25</v>
      </c>
    </row>
    <row r="1072" spans="1:10" x14ac:dyDescent="0.35">
      <c r="A1072" t="s">
        <v>1102</v>
      </c>
      <c r="B1072" s="2">
        <v>43293</v>
      </c>
      <c r="C1072" t="s">
        <v>30</v>
      </c>
      <c r="D1072" t="s">
        <v>12</v>
      </c>
      <c r="E1072" s="1">
        <v>12</v>
      </c>
      <c r="F1072" s="1">
        <v>16</v>
      </c>
      <c r="G1072" s="1">
        <v>192</v>
      </c>
      <c r="H1072" s="1">
        <v>0.11</v>
      </c>
      <c r="I1072" s="1">
        <v>21</v>
      </c>
      <c r="J1072" t="s">
        <v>28</v>
      </c>
    </row>
    <row r="1073" spans="1:10" x14ac:dyDescent="0.35">
      <c r="A1073" t="s">
        <v>1103</v>
      </c>
      <c r="B1073" s="2">
        <v>43294</v>
      </c>
      <c r="C1073" t="s">
        <v>11</v>
      </c>
      <c r="D1073" t="s">
        <v>31</v>
      </c>
      <c r="E1073" s="1">
        <v>17</v>
      </c>
      <c r="F1073" s="1">
        <v>80</v>
      </c>
      <c r="G1073" s="1">
        <v>1360</v>
      </c>
      <c r="H1073" s="1">
        <v>7.0000000000000007E-2</v>
      </c>
      <c r="I1073" s="1">
        <v>95</v>
      </c>
      <c r="J1073" t="s">
        <v>32</v>
      </c>
    </row>
    <row r="1074" spans="1:10" x14ac:dyDescent="0.35">
      <c r="A1074" t="s">
        <v>1104</v>
      </c>
      <c r="B1074" s="2">
        <v>43294</v>
      </c>
      <c r="C1074" t="s">
        <v>19</v>
      </c>
      <c r="D1074" t="s">
        <v>12</v>
      </c>
      <c r="E1074" s="1">
        <v>3</v>
      </c>
      <c r="F1074" s="1">
        <v>230</v>
      </c>
      <c r="G1074" s="1">
        <v>690</v>
      </c>
      <c r="H1074" s="1">
        <v>0.06</v>
      </c>
      <c r="I1074" s="1">
        <v>41</v>
      </c>
      <c r="J1074" t="s">
        <v>35</v>
      </c>
    </row>
    <row r="1075" spans="1:10" x14ac:dyDescent="0.35">
      <c r="A1075" t="s">
        <v>1105</v>
      </c>
      <c r="B1075" s="2">
        <v>43294</v>
      </c>
      <c r="C1075" t="s">
        <v>11</v>
      </c>
      <c r="D1075" t="s">
        <v>24</v>
      </c>
      <c r="E1075" s="1">
        <v>20</v>
      </c>
      <c r="F1075" s="1">
        <v>80</v>
      </c>
      <c r="G1075" s="1">
        <v>1600</v>
      </c>
      <c r="H1075" s="1">
        <v>7.0000000000000007E-2</v>
      </c>
      <c r="I1075" s="1">
        <v>112</v>
      </c>
      <c r="J1075" t="s">
        <v>37</v>
      </c>
    </row>
    <row r="1076" spans="1:10" x14ac:dyDescent="0.35">
      <c r="A1076" t="s">
        <v>1106</v>
      </c>
      <c r="B1076" s="2">
        <v>43294</v>
      </c>
      <c r="C1076" t="s">
        <v>19</v>
      </c>
      <c r="D1076" t="s">
        <v>16</v>
      </c>
      <c r="E1076" s="1">
        <v>14</v>
      </c>
      <c r="F1076" s="1">
        <v>230</v>
      </c>
      <c r="G1076" s="1">
        <v>3220</v>
      </c>
      <c r="H1076" s="1">
        <v>0.05</v>
      </c>
      <c r="I1076" s="1">
        <v>161</v>
      </c>
      <c r="J1076" t="s">
        <v>39</v>
      </c>
    </row>
    <row r="1077" spans="1:10" x14ac:dyDescent="0.35">
      <c r="A1077" t="s">
        <v>1107</v>
      </c>
      <c r="B1077" s="2">
        <v>43294</v>
      </c>
      <c r="C1077" t="s">
        <v>15</v>
      </c>
      <c r="D1077" t="s">
        <v>31</v>
      </c>
      <c r="E1077" s="1">
        <v>16</v>
      </c>
      <c r="F1077" s="1">
        <v>40</v>
      </c>
      <c r="G1077" s="1">
        <v>640</v>
      </c>
      <c r="H1077" s="1">
        <v>0.09</v>
      </c>
      <c r="I1077" s="1">
        <v>58</v>
      </c>
      <c r="J1077" t="s">
        <v>41</v>
      </c>
    </row>
    <row r="1078" spans="1:10" x14ac:dyDescent="0.35">
      <c r="A1078" t="s">
        <v>1108</v>
      </c>
      <c r="B1078" s="2">
        <v>43294</v>
      </c>
      <c r="C1078" t="s">
        <v>30</v>
      </c>
      <c r="D1078" t="s">
        <v>16</v>
      </c>
      <c r="E1078" s="1">
        <v>7</v>
      </c>
      <c r="F1078" s="1">
        <v>16</v>
      </c>
      <c r="G1078" s="1">
        <v>112</v>
      </c>
      <c r="H1078" s="1">
        <v>0.08</v>
      </c>
      <c r="I1078" s="1">
        <v>9</v>
      </c>
      <c r="J1078" t="s">
        <v>43</v>
      </c>
    </row>
    <row r="1079" spans="1:10" x14ac:dyDescent="0.35">
      <c r="A1079" t="s">
        <v>1109</v>
      </c>
      <c r="B1079" s="2">
        <v>43294</v>
      </c>
      <c r="C1079" t="s">
        <v>15</v>
      </c>
      <c r="D1079" t="s">
        <v>16</v>
      </c>
      <c r="E1079" s="1">
        <v>19</v>
      </c>
      <c r="F1079" s="1">
        <v>40</v>
      </c>
      <c r="G1079" s="1">
        <v>760</v>
      </c>
      <c r="H1079" s="1">
        <v>0.1</v>
      </c>
      <c r="I1079" s="1">
        <v>76</v>
      </c>
      <c r="J1079" t="s">
        <v>13</v>
      </c>
    </row>
    <row r="1080" spans="1:10" x14ac:dyDescent="0.35">
      <c r="A1080" t="s">
        <v>1110</v>
      </c>
      <c r="B1080" s="2">
        <v>43294</v>
      </c>
      <c r="C1080" t="s">
        <v>19</v>
      </c>
      <c r="D1080" t="s">
        <v>27</v>
      </c>
      <c r="E1080" s="1">
        <v>7</v>
      </c>
      <c r="F1080" s="1">
        <v>230</v>
      </c>
      <c r="G1080" s="1">
        <v>1610</v>
      </c>
      <c r="H1080" s="1">
        <v>0.06</v>
      </c>
      <c r="I1080" s="1">
        <v>97</v>
      </c>
      <c r="J1080" t="s">
        <v>17</v>
      </c>
    </row>
    <row r="1081" spans="1:10" x14ac:dyDescent="0.35">
      <c r="A1081" t="s">
        <v>1111</v>
      </c>
      <c r="B1081" s="2">
        <v>43294</v>
      </c>
      <c r="C1081" t="s">
        <v>15</v>
      </c>
      <c r="D1081" t="s">
        <v>31</v>
      </c>
      <c r="E1081" s="1">
        <v>20</v>
      </c>
      <c r="F1081" s="1">
        <v>40</v>
      </c>
      <c r="G1081" s="1">
        <v>800</v>
      </c>
      <c r="H1081" s="1">
        <v>0.03</v>
      </c>
      <c r="I1081" s="1">
        <v>24</v>
      </c>
      <c r="J1081" t="s">
        <v>20</v>
      </c>
    </row>
    <row r="1082" spans="1:10" x14ac:dyDescent="0.35">
      <c r="A1082" t="s">
        <v>1112</v>
      </c>
      <c r="B1082" s="2">
        <v>43294</v>
      </c>
      <c r="C1082" t="s">
        <v>30</v>
      </c>
      <c r="D1082" t="s">
        <v>24</v>
      </c>
      <c r="E1082" s="1">
        <v>11</v>
      </c>
      <c r="F1082" s="1">
        <v>16</v>
      </c>
      <c r="G1082" s="1">
        <v>176</v>
      </c>
      <c r="H1082" s="1">
        <v>0.12</v>
      </c>
      <c r="I1082" s="1">
        <v>21</v>
      </c>
      <c r="J1082" t="s">
        <v>22</v>
      </c>
    </row>
    <row r="1083" spans="1:10" x14ac:dyDescent="0.35">
      <c r="A1083" t="s">
        <v>1113</v>
      </c>
      <c r="B1083" s="2">
        <v>43294</v>
      </c>
      <c r="C1083" t="s">
        <v>11</v>
      </c>
      <c r="D1083" t="s">
        <v>31</v>
      </c>
      <c r="E1083" s="1">
        <v>16</v>
      </c>
      <c r="F1083" s="1">
        <v>80</v>
      </c>
      <c r="G1083" s="1">
        <v>1280</v>
      </c>
      <c r="H1083" s="1">
        <v>0.09</v>
      </c>
      <c r="I1083" s="1">
        <v>115</v>
      </c>
      <c r="J1083" t="s">
        <v>25</v>
      </c>
    </row>
    <row r="1084" spans="1:10" x14ac:dyDescent="0.35">
      <c r="A1084" t="s">
        <v>1114</v>
      </c>
      <c r="B1084" s="2">
        <v>43294</v>
      </c>
      <c r="C1084" t="s">
        <v>30</v>
      </c>
      <c r="D1084" t="s">
        <v>12</v>
      </c>
      <c r="E1084" s="1">
        <v>21</v>
      </c>
      <c r="F1084" s="1">
        <v>16</v>
      </c>
      <c r="G1084" s="1">
        <v>336</v>
      </c>
      <c r="H1084" s="1">
        <v>0.09</v>
      </c>
      <c r="I1084" s="1">
        <v>30</v>
      </c>
      <c r="J1084" t="s">
        <v>28</v>
      </c>
    </row>
    <row r="1085" spans="1:10" x14ac:dyDescent="0.35">
      <c r="A1085" t="s">
        <v>1115</v>
      </c>
      <c r="B1085" s="2">
        <v>43294</v>
      </c>
      <c r="C1085" t="s">
        <v>30</v>
      </c>
      <c r="D1085" t="s">
        <v>12</v>
      </c>
      <c r="E1085" s="1">
        <v>22</v>
      </c>
      <c r="F1085" s="1">
        <v>16</v>
      </c>
      <c r="G1085" s="1">
        <v>352</v>
      </c>
      <c r="H1085" s="1">
        <v>0.01</v>
      </c>
      <c r="I1085" s="1">
        <v>4</v>
      </c>
      <c r="J1085" t="s">
        <v>17</v>
      </c>
    </row>
    <row r="1086" spans="1:10" x14ac:dyDescent="0.35">
      <c r="A1086" t="s">
        <v>1116</v>
      </c>
      <c r="B1086" s="2">
        <v>43294</v>
      </c>
      <c r="C1086" t="s">
        <v>19</v>
      </c>
      <c r="D1086" t="s">
        <v>27</v>
      </c>
      <c r="E1086" s="1">
        <v>23</v>
      </c>
      <c r="F1086" s="1">
        <v>230</v>
      </c>
      <c r="G1086" s="1">
        <v>5290</v>
      </c>
      <c r="H1086" s="1">
        <v>0.06</v>
      </c>
      <c r="I1086" s="1">
        <v>317</v>
      </c>
      <c r="J1086" t="s">
        <v>20</v>
      </c>
    </row>
    <row r="1087" spans="1:10" x14ac:dyDescent="0.35">
      <c r="A1087" t="s">
        <v>1117</v>
      </c>
      <c r="B1087" s="2">
        <v>43294</v>
      </c>
      <c r="C1087" t="s">
        <v>34</v>
      </c>
      <c r="D1087" t="s">
        <v>12</v>
      </c>
      <c r="E1087" s="1">
        <v>9</v>
      </c>
      <c r="F1087" s="1">
        <v>150</v>
      </c>
      <c r="G1087" s="1">
        <v>1350</v>
      </c>
      <c r="H1087" s="1">
        <v>0.1</v>
      </c>
      <c r="I1087" s="1">
        <v>135</v>
      </c>
      <c r="J1087" t="s">
        <v>22</v>
      </c>
    </row>
    <row r="1088" spans="1:10" x14ac:dyDescent="0.35">
      <c r="A1088" t="s">
        <v>1118</v>
      </c>
      <c r="B1088" s="2">
        <v>43294</v>
      </c>
      <c r="C1088" t="s">
        <v>34</v>
      </c>
      <c r="D1088" t="s">
        <v>24</v>
      </c>
      <c r="E1088" s="1">
        <v>9</v>
      </c>
      <c r="F1088" s="1">
        <v>150</v>
      </c>
      <c r="G1088" s="1">
        <v>1350</v>
      </c>
      <c r="H1088" s="1">
        <v>0.06</v>
      </c>
      <c r="I1088" s="1">
        <v>81</v>
      </c>
      <c r="J1088" t="s">
        <v>25</v>
      </c>
    </row>
    <row r="1089" spans="1:10" x14ac:dyDescent="0.35">
      <c r="A1089" t="s">
        <v>1119</v>
      </c>
      <c r="B1089" s="2">
        <v>43295</v>
      </c>
      <c r="C1089" t="s">
        <v>19</v>
      </c>
      <c r="D1089" t="s">
        <v>12</v>
      </c>
      <c r="E1089" s="1">
        <v>9</v>
      </c>
      <c r="F1089" s="1">
        <v>230</v>
      </c>
      <c r="G1089" s="1">
        <v>2070</v>
      </c>
      <c r="H1089" s="1">
        <v>7.0000000000000007E-2</v>
      </c>
      <c r="I1089" s="1">
        <v>145</v>
      </c>
      <c r="J1089" t="s">
        <v>28</v>
      </c>
    </row>
    <row r="1090" spans="1:10" x14ac:dyDescent="0.35">
      <c r="A1090" t="s">
        <v>1120</v>
      </c>
      <c r="B1090" s="2">
        <v>43295</v>
      </c>
      <c r="C1090" t="s">
        <v>11</v>
      </c>
      <c r="D1090" t="s">
        <v>24</v>
      </c>
      <c r="E1090" s="1">
        <v>10</v>
      </c>
      <c r="F1090" s="1">
        <v>80</v>
      </c>
      <c r="G1090" s="1">
        <v>800</v>
      </c>
      <c r="H1090" s="1">
        <v>0.08</v>
      </c>
      <c r="I1090" s="1">
        <v>64</v>
      </c>
      <c r="J1090" t="s">
        <v>32</v>
      </c>
    </row>
    <row r="1091" spans="1:10" x14ac:dyDescent="0.35">
      <c r="A1091" t="s">
        <v>1121</v>
      </c>
      <c r="B1091" s="2">
        <v>43295</v>
      </c>
      <c r="C1091" t="s">
        <v>30</v>
      </c>
      <c r="D1091" t="s">
        <v>24</v>
      </c>
      <c r="E1091" s="1">
        <v>23</v>
      </c>
      <c r="F1091" s="1">
        <v>16</v>
      </c>
      <c r="G1091" s="1">
        <v>368</v>
      </c>
      <c r="H1091" s="1">
        <v>0.11</v>
      </c>
      <c r="I1091" s="1">
        <v>40</v>
      </c>
      <c r="J1091" t="s">
        <v>35</v>
      </c>
    </row>
    <row r="1092" spans="1:10" x14ac:dyDescent="0.35">
      <c r="A1092" t="s">
        <v>1122</v>
      </c>
      <c r="B1092" s="2">
        <v>43295</v>
      </c>
      <c r="C1092" t="s">
        <v>11</v>
      </c>
      <c r="D1092" t="s">
        <v>27</v>
      </c>
      <c r="E1092" s="1">
        <v>22</v>
      </c>
      <c r="F1092" s="1">
        <v>80</v>
      </c>
      <c r="G1092" s="1">
        <v>1760</v>
      </c>
      <c r="H1092" s="1">
        <v>0.03</v>
      </c>
      <c r="I1092" s="1">
        <v>53</v>
      </c>
      <c r="J1092" t="s">
        <v>37</v>
      </c>
    </row>
    <row r="1093" spans="1:10" x14ac:dyDescent="0.35">
      <c r="A1093" t="s">
        <v>1123</v>
      </c>
      <c r="B1093" s="2">
        <v>43295</v>
      </c>
      <c r="C1093" t="s">
        <v>11</v>
      </c>
      <c r="D1093" t="s">
        <v>27</v>
      </c>
      <c r="E1093" s="1">
        <v>4</v>
      </c>
      <c r="F1093" s="1">
        <v>80</v>
      </c>
      <c r="G1093" s="1">
        <v>320</v>
      </c>
      <c r="H1093" s="1">
        <v>0.11</v>
      </c>
      <c r="I1093" s="1">
        <v>35</v>
      </c>
      <c r="J1093" t="s">
        <v>39</v>
      </c>
    </row>
    <row r="1094" spans="1:10" x14ac:dyDescent="0.35">
      <c r="A1094" t="s">
        <v>1124</v>
      </c>
      <c r="B1094" s="2">
        <v>43295</v>
      </c>
      <c r="C1094" t="s">
        <v>30</v>
      </c>
      <c r="D1094" t="s">
        <v>12</v>
      </c>
      <c r="E1094" s="1">
        <v>22</v>
      </c>
      <c r="F1094" s="1">
        <v>16</v>
      </c>
      <c r="G1094" s="1">
        <v>352</v>
      </c>
      <c r="H1094" s="1">
        <v>0.06</v>
      </c>
      <c r="I1094" s="1">
        <v>21</v>
      </c>
      <c r="J1094" t="s">
        <v>41</v>
      </c>
    </row>
    <row r="1095" spans="1:10" x14ac:dyDescent="0.35">
      <c r="A1095" t="s">
        <v>1125</v>
      </c>
      <c r="B1095" s="2">
        <v>43295</v>
      </c>
      <c r="C1095" t="s">
        <v>15</v>
      </c>
      <c r="D1095" t="s">
        <v>16</v>
      </c>
      <c r="E1095" s="1">
        <v>15</v>
      </c>
      <c r="F1095" s="1">
        <v>40</v>
      </c>
      <c r="G1095" s="1">
        <v>600</v>
      </c>
      <c r="H1095" s="1">
        <v>0.02</v>
      </c>
      <c r="I1095" s="1">
        <v>12</v>
      </c>
      <c r="J1095" t="s">
        <v>43</v>
      </c>
    </row>
    <row r="1096" spans="1:10" x14ac:dyDescent="0.35">
      <c r="A1096" t="s">
        <v>1126</v>
      </c>
      <c r="B1096" s="2">
        <v>43295</v>
      </c>
      <c r="C1096" t="s">
        <v>15</v>
      </c>
      <c r="D1096" t="s">
        <v>31</v>
      </c>
      <c r="E1096" s="1">
        <v>7</v>
      </c>
      <c r="F1096" s="1">
        <v>40</v>
      </c>
      <c r="G1096" s="1">
        <v>280</v>
      </c>
      <c r="H1096" s="1">
        <v>0.04</v>
      </c>
      <c r="I1096" s="1">
        <v>11</v>
      </c>
      <c r="J1096" t="s">
        <v>13</v>
      </c>
    </row>
    <row r="1097" spans="1:10" x14ac:dyDescent="0.35">
      <c r="A1097" t="s">
        <v>1127</v>
      </c>
      <c r="B1097" s="2">
        <v>43295</v>
      </c>
      <c r="C1097" t="s">
        <v>30</v>
      </c>
      <c r="D1097" t="s">
        <v>31</v>
      </c>
      <c r="E1097" s="1">
        <v>2</v>
      </c>
      <c r="F1097" s="1">
        <v>16</v>
      </c>
      <c r="G1097" s="1">
        <v>32</v>
      </c>
      <c r="H1097" s="1">
        <v>0.04</v>
      </c>
      <c r="I1097" s="1">
        <v>1</v>
      </c>
      <c r="J1097" t="s">
        <v>17</v>
      </c>
    </row>
    <row r="1098" spans="1:10" x14ac:dyDescent="0.35">
      <c r="A1098" t="s">
        <v>1128</v>
      </c>
      <c r="B1098" s="2">
        <v>43295</v>
      </c>
      <c r="C1098" t="s">
        <v>11</v>
      </c>
      <c r="D1098" t="s">
        <v>27</v>
      </c>
      <c r="E1098" s="1">
        <v>7</v>
      </c>
      <c r="F1098" s="1">
        <v>80</v>
      </c>
      <c r="G1098" s="1">
        <v>560</v>
      </c>
      <c r="H1098" s="1">
        <v>0.02</v>
      </c>
      <c r="I1098" s="1">
        <v>11</v>
      </c>
      <c r="J1098" t="s">
        <v>20</v>
      </c>
    </row>
    <row r="1099" spans="1:10" x14ac:dyDescent="0.35">
      <c r="A1099" t="s">
        <v>1129</v>
      </c>
      <c r="B1099" s="2">
        <v>43296</v>
      </c>
      <c r="C1099" t="s">
        <v>30</v>
      </c>
      <c r="D1099" t="s">
        <v>31</v>
      </c>
      <c r="E1099" s="1">
        <v>22</v>
      </c>
      <c r="F1099" s="1">
        <v>16</v>
      </c>
      <c r="G1099" s="1">
        <v>352</v>
      </c>
      <c r="H1099" s="1">
        <v>0.12</v>
      </c>
      <c r="I1099" s="1">
        <v>42</v>
      </c>
      <c r="J1099" t="s">
        <v>22</v>
      </c>
    </row>
    <row r="1100" spans="1:10" x14ac:dyDescent="0.35">
      <c r="A1100" t="s">
        <v>1130</v>
      </c>
      <c r="B1100" s="2">
        <v>43296</v>
      </c>
      <c r="C1100" t="s">
        <v>15</v>
      </c>
      <c r="D1100" t="s">
        <v>16</v>
      </c>
      <c r="E1100" s="1">
        <v>21</v>
      </c>
      <c r="F1100" s="1">
        <v>40</v>
      </c>
      <c r="G1100" s="1">
        <v>840</v>
      </c>
      <c r="H1100" s="1">
        <v>0.03</v>
      </c>
      <c r="I1100" s="1">
        <v>25</v>
      </c>
      <c r="J1100" t="s">
        <v>25</v>
      </c>
    </row>
    <row r="1101" spans="1:10" x14ac:dyDescent="0.35">
      <c r="A1101" t="s">
        <v>1131</v>
      </c>
      <c r="B1101" s="2">
        <v>43296</v>
      </c>
      <c r="C1101" t="s">
        <v>11</v>
      </c>
      <c r="D1101" t="s">
        <v>12</v>
      </c>
      <c r="E1101" s="1">
        <v>6</v>
      </c>
      <c r="F1101" s="1">
        <v>80</v>
      </c>
      <c r="G1101" s="1">
        <v>480</v>
      </c>
      <c r="H1101" s="1">
        <v>0.01</v>
      </c>
      <c r="I1101" s="1">
        <v>5</v>
      </c>
      <c r="J1101" t="s">
        <v>28</v>
      </c>
    </row>
    <row r="1102" spans="1:10" x14ac:dyDescent="0.35">
      <c r="A1102" t="s">
        <v>1132</v>
      </c>
      <c r="B1102" s="2">
        <v>43296</v>
      </c>
      <c r="C1102" t="s">
        <v>11</v>
      </c>
      <c r="D1102" t="s">
        <v>31</v>
      </c>
      <c r="E1102" s="1">
        <v>13</v>
      </c>
      <c r="F1102" s="1">
        <v>80</v>
      </c>
      <c r="G1102" s="1">
        <v>1040</v>
      </c>
      <c r="H1102" s="1">
        <v>0.05</v>
      </c>
      <c r="I1102" s="1">
        <v>52</v>
      </c>
      <c r="J1102" t="s">
        <v>17</v>
      </c>
    </row>
    <row r="1103" spans="1:10" x14ac:dyDescent="0.35">
      <c r="A1103" t="s">
        <v>1133</v>
      </c>
      <c r="B1103" s="2">
        <v>43296</v>
      </c>
      <c r="C1103" t="s">
        <v>11</v>
      </c>
      <c r="D1103" t="s">
        <v>27</v>
      </c>
      <c r="E1103" s="1">
        <v>11</v>
      </c>
      <c r="F1103" s="1">
        <v>80</v>
      </c>
      <c r="G1103" s="1">
        <v>880</v>
      </c>
      <c r="H1103" s="1">
        <v>0.01</v>
      </c>
      <c r="I1103" s="1">
        <v>9</v>
      </c>
      <c r="J1103" t="s">
        <v>20</v>
      </c>
    </row>
    <row r="1104" spans="1:10" x14ac:dyDescent="0.35">
      <c r="A1104" t="s">
        <v>1134</v>
      </c>
      <c r="B1104" s="2">
        <v>43296</v>
      </c>
      <c r="C1104" t="s">
        <v>15</v>
      </c>
      <c r="D1104" t="s">
        <v>12</v>
      </c>
      <c r="E1104" s="1">
        <v>18</v>
      </c>
      <c r="F1104" s="1">
        <v>40</v>
      </c>
      <c r="G1104" s="1">
        <v>720</v>
      </c>
      <c r="H1104" s="1">
        <v>0.06</v>
      </c>
      <c r="I1104" s="1">
        <v>43</v>
      </c>
      <c r="J1104" t="s">
        <v>22</v>
      </c>
    </row>
    <row r="1105" spans="1:10" x14ac:dyDescent="0.35">
      <c r="A1105" t="s">
        <v>1135</v>
      </c>
      <c r="B1105" s="2">
        <v>43296</v>
      </c>
      <c r="C1105" t="s">
        <v>34</v>
      </c>
      <c r="D1105" t="s">
        <v>27</v>
      </c>
      <c r="E1105" s="1">
        <v>7</v>
      </c>
      <c r="F1105" s="1">
        <v>150</v>
      </c>
      <c r="G1105" s="1">
        <v>1050</v>
      </c>
      <c r="H1105" s="1">
        <v>0.05</v>
      </c>
      <c r="I1105" s="1">
        <v>52</v>
      </c>
      <c r="J1105" t="s">
        <v>25</v>
      </c>
    </row>
    <row r="1106" spans="1:10" x14ac:dyDescent="0.35">
      <c r="A1106" t="s">
        <v>1136</v>
      </c>
      <c r="B1106" s="2">
        <v>43296</v>
      </c>
      <c r="C1106" t="s">
        <v>15</v>
      </c>
      <c r="D1106" t="s">
        <v>12</v>
      </c>
      <c r="E1106" s="1">
        <v>2</v>
      </c>
      <c r="F1106" s="1">
        <v>40</v>
      </c>
      <c r="G1106" s="1">
        <v>80</v>
      </c>
      <c r="H1106" s="1">
        <v>0.12</v>
      </c>
      <c r="I1106" s="1">
        <v>10</v>
      </c>
      <c r="J1106" t="s">
        <v>28</v>
      </c>
    </row>
    <row r="1107" spans="1:10" x14ac:dyDescent="0.35">
      <c r="A1107" t="s">
        <v>1137</v>
      </c>
      <c r="B1107" s="2">
        <v>43296</v>
      </c>
      <c r="C1107" t="s">
        <v>11</v>
      </c>
      <c r="D1107" t="s">
        <v>16</v>
      </c>
      <c r="E1107" s="1">
        <v>14</v>
      </c>
      <c r="F1107" s="1">
        <v>80</v>
      </c>
      <c r="G1107" s="1">
        <v>1120</v>
      </c>
      <c r="H1107" s="1">
        <v>0.06</v>
      </c>
      <c r="I1107" s="1">
        <v>67</v>
      </c>
      <c r="J1107" t="s">
        <v>32</v>
      </c>
    </row>
    <row r="1108" spans="1:10" x14ac:dyDescent="0.35">
      <c r="A1108" t="s">
        <v>1138</v>
      </c>
      <c r="B1108" s="2">
        <v>43296</v>
      </c>
      <c r="C1108" t="s">
        <v>34</v>
      </c>
      <c r="D1108" t="s">
        <v>31</v>
      </c>
      <c r="E1108" s="1">
        <v>7</v>
      </c>
      <c r="F1108" s="1">
        <v>150</v>
      </c>
      <c r="G1108" s="1">
        <v>1050</v>
      </c>
      <c r="H1108" s="1">
        <v>0.03</v>
      </c>
      <c r="I1108" s="1">
        <v>32</v>
      </c>
      <c r="J1108" t="s">
        <v>35</v>
      </c>
    </row>
    <row r="1109" spans="1:10" x14ac:dyDescent="0.35">
      <c r="A1109" t="s">
        <v>1139</v>
      </c>
      <c r="B1109" s="2">
        <v>43296</v>
      </c>
      <c r="C1109" t="s">
        <v>30</v>
      </c>
      <c r="D1109" t="s">
        <v>27</v>
      </c>
      <c r="E1109" s="1">
        <v>10</v>
      </c>
      <c r="F1109" s="1">
        <v>16</v>
      </c>
      <c r="G1109" s="1">
        <v>160</v>
      </c>
      <c r="H1109" s="1">
        <v>0.01</v>
      </c>
      <c r="I1109" s="1">
        <v>2</v>
      </c>
      <c r="J1109" t="s">
        <v>37</v>
      </c>
    </row>
    <row r="1110" spans="1:10" x14ac:dyDescent="0.35">
      <c r="A1110" t="s">
        <v>1140</v>
      </c>
      <c r="B1110" s="2">
        <v>43297</v>
      </c>
      <c r="C1110" t="s">
        <v>15</v>
      </c>
      <c r="D1110" t="s">
        <v>16</v>
      </c>
      <c r="E1110" s="1">
        <v>7</v>
      </c>
      <c r="F1110" s="1">
        <v>40</v>
      </c>
      <c r="G1110" s="1">
        <v>280</v>
      </c>
      <c r="H1110" s="1">
        <v>0.01</v>
      </c>
      <c r="I1110" s="1">
        <v>3</v>
      </c>
      <c r="J1110" t="s">
        <v>39</v>
      </c>
    </row>
    <row r="1111" spans="1:10" x14ac:dyDescent="0.35">
      <c r="A1111" t="s">
        <v>1141</v>
      </c>
      <c r="B1111" s="2">
        <v>43297</v>
      </c>
      <c r="C1111" t="s">
        <v>30</v>
      </c>
      <c r="D1111" t="s">
        <v>27</v>
      </c>
      <c r="E1111" s="1">
        <v>7</v>
      </c>
      <c r="F1111" s="1">
        <v>16</v>
      </c>
      <c r="G1111" s="1">
        <v>112</v>
      </c>
      <c r="H1111" s="1">
        <v>0.08</v>
      </c>
      <c r="I1111" s="1">
        <v>9</v>
      </c>
      <c r="J1111" t="s">
        <v>41</v>
      </c>
    </row>
    <row r="1112" spans="1:10" x14ac:dyDescent="0.35">
      <c r="A1112" t="s">
        <v>1142</v>
      </c>
      <c r="B1112" s="2">
        <v>43297</v>
      </c>
      <c r="C1112" t="s">
        <v>34</v>
      </c>
      <c r="D1112" t="s">
        <v>24</v>
      </c>
      <c r="E1112" s="1">
        <v>15</v>
      </c>
      <c r="F1112" s="1">
        <v>150</v>
      </c>
      <c r="G1112" s="1">
        <v>2250</v>
      </c>
      <c r="H1112" s="1">
        <v>0.05</v>
      </c>
      <c r="I1112" s="1">
        <v>112</v>
      </c>
      <c r="J1112" t="s">
        <v>43</v>
      </c>
    </row>
    <row r="1113" spans="1:10" x14ac:dyDescent="0.35">
      <c r="A1113" t="s">
        <v>1143</v>
      </c>
      <c r="B1113" s="2">
        <v>43297</v>
      </c>
      <c r="C1113" t="s">
        <v>11</v>
      </c>
      <c r="D1113" t="s">
        <v>12</v>
      </c>
      <c r="E1113" s="1">
        <v>7</v>
      </c>
      <c r="F1113" s="1">
        <v>80</v>
      </c>
      <c r="G1113" s="1">
        <v>560</v>
      </c>
      <c r="H1113" s="1">
        <v>0.02</v>
      </c>
      <c r="I1113" s="1">
        <v>11</v>
      </c>
      <c r="J1113" t="s">
        <v>13</v>
      </c>
    </row>
    <row r="1114" spans="1:10" x14ac:dyDescent="0.35">
      <c r="A1114" t="s">
        <v>1144</v>
      </c>
      <c r="B1114" s="2">
        <v>43297</v>
      </c>
      <c r="C1114" t="s">
        <v>15</v>
      </c>
      <c r="D1114" t="s">
        <v>24</v>
      </c>
      <c r="E1114" s="1">
        <v>6</v>
      </c>
      <c r="F1114" s="1">
        <v>40</v>
      </c>
      <c r="G1114" s="1">
        <v>240</v>
      </c>
      <c r="H1114" s="1">
        <v>0.06</v>
      </c>
      <c r="I1114" s="1">
        <v>14</v>
      </c>
      <c r="J1114" t="s">
        <v>17</v>
      </c>
    </row>
    <row r="1115" spans="1:10" x14ac:dyDescent="0.35">
      <c r="A1115" t="s">
        <v>1145</v>
      </c>
      <c r="B1115" s="2">
        <v>43297</v>
      </c>
      <c r="C1115" t="s">
        <v>19</v>
      </c>
      <c r="D1115" t="s">
        <v>12</v>
      </c>
      <c r="E1115" s="1">
        <v>3</v>
      </c>
      <c r="F1115" s="1">
        <v>230</v>
      </c>
      <c r="G1115" s="1">
        <v>690</v>
      </c>
      <c r="H1115" s="1">
        <v>0.06</v>
      </c>
      <c r="I1115" s="1">
        <v>41</v>
      </c>
      <c r="J1115" t="s">
        <v>20</v>
      </c>
    </row>
    <row r="1116" spans="1:10" x14ac:dyDescent="0.35">
      <c r="A1116" t="s">
        <v>1146</v>
      </c>
      <c r="B1116" s="2">
        <v>43297</v>
      </c>
      <c r="C1116" t="s">
        <v>34</v>
      </c>
      <c r="D1116" t="s">
        <v>24</v>
      </c>
      <c r="E1116" s="1">
        <v>20</v>
      </c>
      <c r="F1116" s="1">
        <v>150</v>
      </c>
      <c r="G1116" s="1">
        <v>3000</v>
      </c>
      <c r="H1116" s="1">
        <v>0.04</v>
      </c>
      <c r="I1116" s="1">
        <v>120</v>
      </c>
      <c r="J1116" t="s">
        <v>22</v>
      </c>
    </row>
    <row r="1117" spans="1:10" x14ac:dyDescent="0.35">
      <c r="A1117" t="s">
        <v>1147</v>
      </c>
      <c r="B1117" s="2">
        <v>43297</v>
      </c>
      <c r="C1117" t="s">
        <v>19</v>
      </c>
      <c r="D1117" t="s">
        <v>24</v>
      </c>
      <c r="E1117" s="1">
        <v>20</v>
      </c>
      <c r="F1117" s="1">
        <v>230</v>
      </c>
      <c r="G1117" s="1">
        <v>4600</v>
      </c>
      <c r="H1117" s="1">
        <v>0.06</v>
      </c>
      <c r="I1117" s="1">
        <v>276</v>
      </c>
      <c r="J1117" t="s">
        <v>25</v>
      </c>
    </row>
    <row r="1118" spans="1:10" x14ac:dyDescent="0.35">
      <c r="A1118" t="s">
        <v>1148</v>
      </c>
      <c r="B1118" s="2">
        <v>43297</v>
      </c>
      <c r="C1118" t="s">
        <v>30</v>
      </c>
      <c r="D1118" t="s">
        <v>24</v>
      </c>
      <c r="E1118" s="1">
        <v>14</v>
      </c>
      <c r="F1118" s="1">
        <v>16</v>
      </c>
      <c r="G1118" s="1">
        <v>224</v>
      </c>
      <c r="H1118" s="1">
        <v>0.01</v>
      </c>
      <c r="I1118" s="1">
        <v>2</v>
      </c>
      <c r="J1118" t="s">
        <v>28</v>
      </c>
    </row>
    <row r="1119" spans="1:10" x14ac:dyDescent="0.35">
      <c r="A1119" t="s">
        <v>1149</v>
      </c>
      <c r="B1119" s="2">
        <v>43297</v>
      </c>
      <c r="C1119" t="s">
        <v>34</v>
      </c>
      <c r="D1119" t="s">
        <v>24</v>
      </c>
      <c r="E1119" s="1">
        <v>20</v>
      </c>
      <c r="F1119" s="1">
        <v>150</v>
      </c>
      <c r="G1119" s="1">
        <v>3000</v>
      </c>
      <c r="H1119" s="1">
        <v>0.04</v>
      </c>
      <c r="I1119" s="1">
        <v>120</v>
      </c>
      <c r="J1119" t="s">
        <v>17</v>
      </c>
    </row>
    <row r="1120" spans="1:10" x14ac:dyDescent="0.35">
      <c r="A1120" t="s">
        <v>1150</v>
      </c>
      <c r="B1120" s="2">
        <v>43297</v>
      </c>
      <c r="C1120" t="s">
        <v>11</v>
      </c>
      <c r="D1120" t="s">
        <v>12</v>
      </c>
      <c r="E1120" s="1">
        <v>17</v>
      </c>
      <c r="F1120" s="1">
        <v>80</v>
      </c>
      <c r="G1120" s="1">
        <v>1360</v>
      </c>
      <c r="H1120" s="1">
        <v>0.09</v>
      </c>
      <c r="I1120" s="1">
        <v>122</v>
      </c>
      <c r="J1120" t="s">
        <v>20</v>
      </c>
    </row>
    <row r="1121" spans="1:10" x14ac:dyDescent="0.35">
      <c r="A1121" t="s">
        <v>1151</v>
      </c>
      <c r="B1121" s="2">
        <v>43298</v>
      </c>
      <c r="C1121" t="s">
        <v>34</v>
      </c>
      <c r="D1121" t="s">
        <v>24</v>
      </c>
      <c r="E1121" s="1">
        <v>20</v>
      </c>
      <c r="F1121" s="1">
        <v>150</v>
      </c>
      <c r="G1121" s="1">
        <v>3000</v>
      </c>
      <c r="H1121" s="1">
        <v>0.12</v>
      </c>
      <c r="I1121" s="1">
        <v>360</v>
      </c>
      <c r="J1121" t="s">
        <v>22</v>
      </c>
    </row>
    <row r="1122" spans="1:10" x14ac:dyDescent="0.35">
      <c r="A1122" t="s">
        <v>1152</v>
      </c>
      <c r="B1122" s="2">
        <v>43298</v>
      </c>
      <c r="C1122" t="s">
        <v>30</v>
      </c>
      <c r="D1122" t="s">
        <v>24</v>
      </c>
      <c r="E1122" s="1">
        <v>11</v>
      </c>
      <c r="F1122" s="1">
        <v>16</v>
      </c>
      <c r="G1122" s="1">
        <v>176</v>
      </c>
      <c r="H1122" s="1">
        <v>0.04</v>
      </c>
      <c r="I1122" s="1">
        <v>7</v>
      </c>
      <c r="J1122" t="s">
        <v>25</v>
      </c>
    </row>
    <row r="1123" spans="1:10" x14ac:dyDescent="0.35">
      <c r="A1123" t="s">
        <v>1153</v>
      </c>
      <c r="B1123" s="2">
        <v>43298</v>
      </c>
      <c r="C1123" t="s">
        <v>19</v>
      </c>
      <c r="D1123" t="s">
        <v>31</v>
      </c>
      <c r="E1123" s="1">
        <v>7</v>
      </c>
      <c r="F1123" s="1">
        <v>230</v>
      </c>
      <c r="G1123" s="1">
        <v>1610</v>
      </c>
      <c r="H1123" s="1">
        <v>0.05</v>
      </c>
      <c r="I1123" s="1">
        <v>80</v>
      </c>
      <c r="J1123" t="s">
        <v>28</v>
      </c>
    </row>
    <row r="1124" spans="1:10" x14ac:dyDescent="0.35">
      <c r="A1124" t="s">
        <v>1154</v>
      </c>
      <c r="B1124" s="2">
        <v>43298</v>
      </c>
      <c r="C1124" t="s">
        <v>15</v>
      </c>
      <c r="D1124" t="s">
        <v>16</v>
      </c>
      <c r="E1124" s="1">
        <v>14</v>
      </c>
      <c r="F1124" s="1">
        <v>40</v>
      </c>
      <c r="G1124" s="1">
        <v>560</v>
      </c>
      <c r="H1124" s="1">
        <v>0.06</v>
      </c>
      <c r="I1124" s="1">
        <v>34</v>
      </c>
      <c r="J1124" t="s">
        <v>32</v>
      </c>
    </row>
    <row r="1125" spans="1:10" x14ac:dyDescent="0.35">
      <c r="A1125" t="s">
        <v>1155</v>
      </c>
      <c r="B1125" s="2">
        <v>43298</v>
      </c>
      <c r="C1125" t="s">
        <v>11</v>
      </c>
      <c r="D1125" t="s">
        <v>16</v>
      </c>
      <c r="E1125" s="1">
        <v>13</v>
      </c>
      <c r="F1125" s="1">
        <v>80</v>
      </c>
      <c r="G1125" s="1">
        <v>1040</v>
      </c>
      <c r="H1125" s="1">
        <v>0.06</v>
      </c>
      <c r="I1125" s="1">
        <v>62</v>
      </c>
      <c r="J1125" t="s">
        <v>35</v>
      </c>
    </row>
    <row r="1126" spans="1:10" x14ac:dyDescent="0.35">
      <c r="A1126" t="s">
        <v>1156</v>
      </c>
      <c r="B1126" s="2">
        <v>43298</v>
      </c>
      <c r="C1126" t="s">
        <v>30</v>
      </c>
      <c r="D1126" t="s">
        <v>24</v>
      </c>
      <c r="E1126" s="1">
        <v>17</v>
      </c>
      <c r="F1126" s="1">
        <v>16</v>
      </c>
      <c r="G1126" s="1">
        <v>272</v>
      </c>
      <c r="H1126" s="1">
        <v>0.05</v>
      </c>
      <c r="I1126" s="1">
        <v>14</v>
      </c>
      <c r="J1126" t="s">
        <v>37</v>
      </c>
    </row>
    <row r="1127" spans="1:10" x14ac:dyDescent="0.35">
      <c r="A1127" t="s">
        <v>1157</v>
      </c>
      <c r="B1127" s="2">
        <v>43298</v>
      </c>
      <c r="C1127" t="s">
        <v>19</v>
      </c>
      <c r="D1127" t="s">
        <v>24</v>
      </c>
      <c r="E1127" s="1">
        <v>12</v>
      </c>
      <c r="F1127" s="1">
        <v>230</v>
      </c>
      <c r="G1127" s="1">
        <v>2760</v>
      </c>
      <c r="H1127" s="1">
        <v>0.03</v>
      </c>
      <c r="I1127" s="1">
        <v>83</v>
      </c>
      <c r="J1127" t="s">
        <v>39</v>
      </c>
    </row>
    <row r="1128" spans="1:10" x14ac:dyDescent="0.35">
      <c r="A1128" t="s">
        <v>1158</v>
      </c>
      <c r="B1128" s="2">
        <v>43298</v>
      </c>
      <c r="C1128" t="s">
        <v>15</v>
      </c>
      <c r="D1128" t="s">
        <v>16</v>
      </c>
      <c r="E1128" s="1">
        <v>4</v>
      </c>
      <c r="F1128" s="1">
        <v>40</v>
      </c>
      <c r="G1128" s="1">
        <v>160</v>
      </c>
      <c r="H1128" s="1">
        <v>0.12</v>
      </c>
      <c r="I1128" s="1">
        <v>19</v>
      </c>
      <c r="J1128" t="s">
        <v>41</v>
      </c>
    </row>
    <row r="1129" spans="1:10" x14ac:dyDescent="0.35">
      <c r="A1129" t="s">
        <v>1159</v>
      </c>
      <c r="B1129" s="2">
        <v>43298</v>
      </c>
      <c r="C1129" t="s">
        <v>30</v>
      </c>
      <c r="D1129" t="s">
        <v>12</v>
      </c>
      <c r="E1129" s="1">
        <v>20</v>
      </c>
      <c r="F1129" s="1">
        <v>16</v>
      </c>
      <c r="G1129" s="1">
        <v>320</v>
      </c>
      <c r="H1129" s="1">
        <v>0.01</v>
      </c>
      <c r="I1129" s="1">
        <v>3</v>
      </c>
      <c r="J1129" t="s">
        <v>43</v>
      </c>
    </row>
    <row r="1130" spans="1:10" x14ac:dyDescent="0.35">
      <c r="A1130" t="s">
        <v>1160</v>
      </c>
      <c r="B1130" s="2">
        <v>43298</v>
      </c>
      <c r="C1130" t="s">
        <v>11</v>
      </c>
      <c r="D1130" t="s">
        <v>27</v>
      </c>
      <c r="E1130" s="1">
        <v>8</v>
      </c>
      <c r="F1130" s="1">
        <v>80</v>
      </c>
      <c r="G1130" s="1">
        <v>640</v>
      </c>
      <c r="H1130" s="1">
        <v>0.06</v>
      </c>
      <c r="I1130" s="1">
        <v>38</v>
      </c>
      <c r="J1130" t="s">
        <v>13</v>
      </c>
    </row>
    <row r="1131" spans="1:10" x14ac:dyDescent="0.35">
      <c r="A1131" t="s">
        <v>1161</v>
      </c>
      <c r="B1131" s="2">
        <v>43298</v>
      </c>
      <c r="C1131" t="s">
        <v>11</v>
      </c>
      <c r="D1131" t="s">
        <v>12</v>
      </c>
      <c r="E1131" s="1">
        <v>18</v>
      </c>
      <c r="F1131" s="1">
        <v>80</v>
      </c>
      <c r="G1131" s="1">
        <v>1440</v>
      </c>
      <c r="H1131" s="1">
        <v>0.02</v>
      </c>
      <c r="I1131" s="1">
        <v>29</v>
      </c>
      <c r="J1131" t="s">
        <v>17</v>
      </c>
    </row>
    <row r="1132" spans="1:10" x14ac:dyDescent="0.35">
      <c r="A1132" t="s">
        <v>1162</v>
      </c>
      <c r="B1132" s="2">
        <v>43298</v>
      </c>
      <c r="C1132" t="s">
        <v>30</v>
      </c>
      <c r="D1132" t="s">
        <v>24</v>
      </c>
      <c r="E1132" s="1">
        <v>6</v>
      </c>
      <c r="F1132" s="1">
        <v>16</v>
      </c>
      <c r="G1132" s="1">
        <v>96</v>
      </c>
      <c r="H1132" s="1">
        <v>0.06</v>
      </c>
      <c r="I1132" s="1">
        <v>6</v>
      </c>
      <c r="J1132" t="s">
        <v>20</v>
      </c>
    </row>
    <row r="1133" spans="1:10" x14ac:dyDescent="0.35">
      <c r="A1133" t="s">
        <v>1163</v>
      </c>
      <c r="B1133" s="2">
        <v>43298</v>
      </c>
      <c r="C1133" t="s">
        <v>11</v>
      </c>
      <c r="D1133" t="s">
        <v>12</v>
      </c>
      <c r="E1133" s="1">
        <v>9</v>
      </c>
      <c r="F1133" s="1">
        <v>80</v>
      </c>
      <c r="G1133" s="1">
        <v>720</v>
      </c>
      <c r="H1133" s="1">
        <v>0.04</v>
      </c>
      <c r="I1133" s="1">
        <v>29</v>
      </c>
      <c r="J1133" t="s">
        <v>22</v>
      </c>
    </row>
    <row r="1134" spans="1:10" x14ac:dyDescent="0.35">
      <c r="A1134" t="s">
        <v>1164</v>
      </c>
      <c r="B1134" s="2">
        <v>43299</v>
      </c>
      <c r="C1134" t="s">
        <v>11</v>
      </c>
      <c r="D1134" t="s">
        <v>24</v>
      </c>
      <c r="E1134" s="1">
        <v>8</v>
      </c>
      <c r="F1134" s="1">
        <v>80</v>
      </c>
      <c r="G1134" s="1">
        <v>640</v>
      </c>
      <c r="H1134" s="1">
        <v>0.02</v>
      </c>
      <c r="I1134" s="1">
        <v>13</v>
      </c>
      <c r="J1134" t="s">
        <v>25</v>
      </c>
    </row>
    <row r="1135" spans="1:10" x14ac:dyDescent="0.35">
      <c r="A1135" t="s">
        <v>1165</v>
      </c>
      <c r="B1135" s="2">
        <v>43299</v>
      </c>
      <c r="C1135" t="s">
        <v>34</v>
      </c>
      <c r="D1135" t="s">
        <v>27</v>
      </c>
      <c r="E1135" s="1">
        <v>6</v>
      </c>
      <c r="F1135" s="1">
        <v>150</v>
      </c>
      <c r="G1135" s="1">
        <v>900</v>
      </c>
      <c r="H1135" s="1">
        <v>0.03</v>
      </c>
      <c r="I1135" s="1">
        <v>27</v>
      </c>
      <c r="J1135" t="s">
        <v>28</v>
      </c>
    </row>
    <row r="1136" spans="1:10" x14ac:dyDescent="0.35">
      <c r="A1136" t="s">
        <v>1166</v>
      </c>
      <c r="B1136" s="2">
        <v>43299</v>
      </c>
      <c r="C1136" t="s">
        <v>30</v>
      </c>
      <c r="D1136" t="s">
        <v>27</v>
      </c>
      <c r="E1136" s="1">
        <v>14</v>
      </c>
      <c r="F1136" s="1">
        <v>16</v>
      </c>
      <c r="G1136" s="1">
        <v>224</v>
      </c>
      <c r="H1136" s="1">
        <v>0.12</v>
      </c>
      <c r="I1136" s="1">
        <v>27</v>
      </c>
      <c r="J1136" t="s">
        <v>17</v>
      </c>
    </row>
    <row r="1137" spans="1:10" x14ac:dyDescent="0.35">
      <c r="A1137" t="s">
        <v>1167</v>
      </c>
      <c r="B1137" s="2">
        <v>43299</v>
      </c>
      <c r="C1137" t="s">
        <v>11</v>
      </c>
      <c r="D1137" t="s">
        <v>24</v>
      </c>
      <c r="E1137" s="1">
        <v>6</v>
      </c>
      <c r="F1137" s="1">
        <v>80</v>
      </c>
      <c r="G1137" s="1">
        <v>480</v>
      </c>
      <c r="H1137" s="1">
        <v>0.09</v>
      </c>
      <c r="I1137" s="1">
        <v>43</v>
      </c>
      <c r="J1137" t="s">
        <v>20</v>
      </c>
    </row>
    <row r="1138" spans="1:10" x14ac:dyDescent="0.35">
      <c r="A1138" t="s">
        <v>1168</v>
      </c>
      <c r="B1138" s="2">
        <v>43299</v>
      </c>
      <c r="C1138" t="s">
        <v>15</v>
      </c>
      <c r="D1138" t="s">
        <v>31</v>
      </c>
      <c r="E1138" s="1">
        <v>23</v>
      </c>
      <c r="F1138" s="1">
        <v>40</v>
      </c>
      <c r="G1138" s="1">
        <v>920</v>
      </c>
      <c r="H1138" s="1">
        <v>0.04</v>
      </c>
      <c r="I1138" s="1">
        <v>37</v>
      </c>
      <c r="J1138" t="s">
        <v>22</v>
      </c>
    </row>
    <row r="1139" spans="1:10" x14ac:dyDescent="0.35">
      <c r="A1139" t="s">
        <v>1169</v>
      </c>
      <c r="B1139" s="2">
        <v>43299</v>
      </c>
      <c r="C1139" t="s">
        <v>15</v>
      </c>
      <c r="D1139" t="s">
        <v>24</v>
      </c>
      <c r="E1139" s="1">
        <v>12</v>
      </c>
      <c r="F1139" s="1">
        <v>40</v>
      </c>
      <c r="G1139" s="1">
        <v>480</v>
      </c>
      <c r="H1139" s="1">
        <v>0.02</v>
      </c>
      <c r="I1139" s="1">
        <v>10</v>
      </c>
      <c r="J1139" t="s">
        <v>25</v>
      </c>
    </row>
    <row r="1140" spans="1:10" x14ac:dyDescent="0.35">
      <c r="A1140" t="s">
        <v>1170</v>
      </c>
      <c r="B1140" s="2">
        <v>43299</v>
      </c>
      <c r="C1140" t="s">
        <v>15</v>
      </c>
      <c r="D1140" t="s">
        <v>27</v>
      </c>
      <c r="E1140" s="1">
        <v>22</v>
      </c>
      <c r="F1140" s="1">
        <v>40</v>
      </c>
      <c r="G1140" s="1">
        <v>880</v>
      </c>
      <c r="H1140" s="1">
        <v>0.01</v>
      </c>
      <c r="I1140" s="1">
        <v>9</v>
      </c>
      <c r="J1140" t="s">
        <v>28</v>
      </c>
    </row>
    <row r="1141" spans="1:10" x14ac:dyDescent="0.35">
      <c r="A1141" t="s">
        <v>1171</v>
      </c>
      <c r="B1141" s="2">
        <v>43299</v>
      </c>
      <c r="C1141" t="s">
        <v>34</v>
      </c>
      <c r="D1141" t="s">
        <v>27</v>
      </c>
      <c r="E1141" s="1">
        <v>6</v>
      </c>
      <c r="F1141" s="1">
        <v>150</v>
      </c>
      <c r="G1141" s="1">
        <v>900</v>
      </c>
      <c r="H1141" s="1">
        <v>0.03</v>
      </c>
      <c r="I1141" s="1">
        <v>27</v>
      </c>
      <c r="J1141" t="s">
        <v>32</v>
      </c>
    </row>
    <row r="1142" spans="1:10" x14ac:dyDescent="0.35">
      <c r="A1142" t="s">
        <v>1172</v>
      </c>
      <c r="B1142" s="2">
        <v>43299</v>
      </c>
      <c r="C1142" t="s">
        <v>30</v>
      </c>
      <c r="D1142" t="s">
        <v>31</v>
      </c>
      <c r="E1142" s="1">
        <v>19</v>
      </c>
      <c r="F1142" s="1">
        <v>16</v>
      </c>
      <c r="G1142" s="1">
        <v>304</v>
      </c>
      <c r="H1142" s="1">
        <v>0.02</v>
      </c>
      <c r="I1142" s="1">
        <v>6</v>
      </c>
      <c r="J1142" t="s">
        <v>35</v>
      </c>
    </row>
    <row r="1143" spans="1:10" x14ac:dyDescent="0.35">
      <c r="A1143" t="s">
        <v>1173</v>
      </c>
      <c r="B1143" s="2">
        <v>43299</v>
      </c>
      <c r="C1143" t="s">
        <v>15</v>
      </c>
      <c r="D1143" t="s">
        <v>24</v>
      </c>
      <c r="E1143" s="1">
        <v>2</v>
      </c>
      <c r="F1143" s="1">
        <v>40</v>
      </c>
      <c r="G1143" s="1">
        <v>80</v>
      </c>
      <c r="H1143" s="1">
        <v>0.02</v>
      </c>
      <c r="I1143" s="1">
        <v>2</v>
      </c>
      <c r="J1143" t="s">
        <v>37</v>
      </c>
    </row>
    <row r="1144" spans="1:10" x14ac:dyDescent="0.35">
      <c r="A1144" t="s">
        <v>1174</v>
      </c>
      <c r="B1144" s="2">
        <v>43300</v>
      </c>
      <c r="C1144" t="s">
        <v>15</v>
      </c>
      <c r="D1144" t="s">
        <v>27</v>
      </c>
      <c r="E1144" s="1">
        <v>22</v>
      </c>
      <c r="F1144" s="1">
        <v>40</v>
      </c>
      <c r="G1144" s="1">
        <v>880</v>
      </c>
      <c r="H1144" s="1">
        <v>0.01</v>
      </c>
      <c r="I1144" s="1">
        <v>9</v>
      </c>
      <c r="J1144" t="s">
        <v>39</v>
      </c>
    </row>
    <row r="1145" spans="1:10" x14ac:dyDescent="0.35">
      <c r="A1145" t="s">
        <v>1175</v>
      </c>
      <c r="B1145" s="2">
        <v>43300</v>
      </c>
      <c r="C1145" t="s">
        <v>19</v>
      </c>
      <c r="D1145" t="s">
        <v>27</v>
      </c>
      <c r="E1145" s="1">
        <v>3</v>
      </c>
      <c r="F1145" s="1">
        <v>230</v>
      </c>
      <c r="G1145" s="1">
        <v>690</v>
      </c>
      <c r="H1145" s="1">
        <v>0.01</v>
      </c>
      <c r="I1145" s="1">
        <v>7</v>
      </c>
      <c r="J1145" t="s">
        <v>41</v>
      </c>
    </row>
    <row r="1146" spans="1:10" x14ac:dyDescent="0.35">
      <c r="A1146" t="s">
        <v>1176</v>
      </c>
      <c r="B1146" s="2">
        <v>43300</v>
      </c>
      <c r="C1146" t="s">
        <v>15</v>
      </c>
      <c r="D1146" t="s">
        <v>27</v>
      </c>
      <c r="E1146" s="1">
        <v>23</v>
      </c>
      <c r="F1146" s="1">
        <v>40</v>
      </c>
      <c r="G1146" s="1">
        <v>920</v>
      </c>
      <c r="H1146" s="1">
        <v>0.06</v>
      </c>
      <c r="I1146" s="1">
        <v>55</v>
      </c>
      <c r="J1146" t="s">
        <v>43</v>
      </c>
    </row>
    <row r="1147" spans="1:10" x14ac:dyDescent="0.35">
      <c r="A1147" t="s">
        <v>1177</v>
      </c>
      <c r="B1147" s="2">
        <v>43300</v>
      </c>
      <c r="C1147" t="s">
        <v>15</v>
      </c>
      <c r="D1147" t="s">
        <v>31</v>
      </c>
      <c r="E1147" s="1">
        <v>5</v>
      </c>
      <c r="F1147" s="1">
        <v>40</v>
      </c>
      <c r="G1147" s="1">
        <v>200</v>
      </c>
      <c r="H1147" s="1">
        <v>0.03</v>
      </c>
      <c r="I1147" s="1">
        <v>6</v>
      </c>
      <c r="J1147" t="s">
        <v>13</v>
      </c>
    </row>
    <row r="1148" spans="1:10" x14ac:dyDescent="0.35">
      <c r="A1148" t="s">
        <v>1178</v>
      </c>
      <c r="B1148" s="2">
        <v>43300</v>
      </c>
      <c r="C1148" t="s">
        <v>11</v>
      </c>
      <c r="D1148" t="s">
        <v>12</v>
      </c>
      <c r="E1148" s="1">
        <v>8</v>
      </c>
      <c r="F1148" s="1">
        <v>80</v>
      </c>
      <c r="G1148" s="1">
        <v>640</v>
      </c>
      <c r="H1148" s="1">
        <v>0.08</v>
      </c>
      <c r="I1148" s="1">
        <v>51</v>
      </c>
      <c r="J1148" t="s">
        <v>17</v>
      </c>
    </row>
    <row r="1149" spans="1:10" x14ac:dyDescent="0.35">
      <c r="A1149" t="s">
        <v>1179</v>
      </c>
      <c r="B1149" s="2">
        <v>43300</v>
      </c>
      <c r="C1149" t="s">
        <v>15</v>
      </c>
      <c r="D1149" t="s">
        <v>24</v>
      </c>
      <c r="E1149" s="1">
        <v>18</v>
      </c>
      <c r="F1149" s="1">
        <v>40</v>
      </c>
      <c r="G1149" s="1">
        <v>720</v>
      </c>
      <c r="H1149" s="1">
        <v>0.03</v>
      </c>
      <c r="I1149" s="1">
        <v>22</v>
      </c>
      <c r="J1149" t="s">
        <v>20</v>
      </c>
    </row>
    <row r="1150" spans="1:10" x14ac:dyDescent="0.35">
      <c r="A1150" t="s">
        <v>1180</v>
      </c>
      <c r="B1150" s="2">
        <v>43300</v>
      </c>
      <c r="C1150" t="s">
        <v>15</v>
      </c>
      <c r="D1150" t="s">
        <v>31</v>
      </c>
      <c r="E1150" s="1">
        <v>20</v>
      </c>
      <c r="F1150" s="1">
        <v>40</v>
      </c>
      <c r="G1150" s="1">
        <v>800</v>
      </c>
      <c r="H1150" s="1">
        <v>0.1</v>
      </c>
      <c r="I1150" s="1">
        <v>80</v>
      </c>
      <c r="J1150" t="s">
        <v>22</v>
      </c>
    </row>
    <row r="1151" spans="1:10" x14ac:dyDescent="0.35">
      <c r="A1151" t="s">
        <v>1181</v>
      </c>
      <c r="B1151" s="2">
        <v>43300</v>
      </c>
      <c r="C1151" t="s">
        <v>15</v>
      </c>
      <c r="D1151" t="s">
        <v>24</v>
      </c>
      <c r="E1151" s="1">
        <v>2</v>
      </c>
      <c r="F1151" s="1">
        <v>40</v>
      </c>
      <c r="G1151" s="1">
        <v>80</v>
      </c>
      <c r="H1151" s="1">
        <v>0.03</v>
      </c>
      <c r="I1151" s="1">
        <v>2</v>
      </c>
      <c r="J1151" t="s">
        <v>25</v>
      </c>
    </row>
    <row r="1152" spans="1:10" x14ac:dyDescent="0.35">
      <c r="A1152" t="s">
        <v>1182</v>
      </c>
      <c r="B1152" s="2">
        <v>43300</v>
      </c>
      <c r="C1152" t="s">
        <v>19</v>
      </c>
      <c r="D1152" t="s">
        <v>12</v>
      </c>
      <c r="E1152" s="1">
        <v>15</v>
      </c>
      <c r="F1152" s="1">
        <v>230</v>
      </c>
      <c r="G1152" s="1">
        <v>3450</v>
      </c>
      <c r="H1152" s="1">
        <v>0.05</v>
      </c>
      <c r="I1152" s="1">
        <v>172</v>
      </c>
      <c r="J1152" t="s">
        <v>28</v>
      </c>
    </row>
    <row r="1153" spans="1:10" x14ac:dyDescent="0.35">
      <c r="A1153" t="s">
        <v>1183</v>
      </c>
      <c r="B1153" s="2">
        <v>43300</v>
      </c>
      <c r="C1153" t="s">
        <v>34</v>
      </c>
      <c r="D1153" t="s">
        <v>27</v>
      </c>
      <c r="E1153" s="1">
        <v>15</v>
      </c>
      <c r="F1153" s="1">
        <v>150</v>
      </c>
      <c r="G1153" s="1">
        <v>2250</v>
      </c>
      <c r="H1153" s="1">
        <v>0.08</v>
      </c>
      <c r="I1153" s="1">
        <v>180</v>
      </c>
      <c r="J1153" t="s">
        <v>17</v>
      </c>
    </row>
    <row r="1154" spans="1:10" x14ac:dyDescent="0.35">
      <c r="A1154" t="s">
        <v>1184</v>
      </c>
      <c r="B1154" s="2">
        <v>43300</v>
      </c>
      <c r="C1154" t="s">
        <v>34</v>
      </c>
      <c r="D1154" t="s">
        <v>27</v>
      </c>
      <c r="E1154" s="1">
        <v>22</v>
      </c>
      <c r="F1154" s="1">
        <v>150</v>
      </c>
      <c r="G1154" s="1">
        <v>3300</v>
      </c>
      <c r="H1154" s="1">
        <v>0.05</v>
      </c>
      <c r="I1154" s="1">
        <v>165</v>
      </c>
      <c r="J1154" t="s">
        <v>20</v>
      </c>
    </row>
    <row r="1155" spans="1:10" x14ac:dyDescent="0.35">
      <c r="A1155" t="s">
        <v>1185</v>
      </c>
      <c r="B1155" s="2">
        <v>43300</v>
      </c>
      <c r="C1155" t="s">
        <v>19</v>
      </c>
      <c r="D1155" t="s">
        <v>16</v>
      </c>
      <c r="E1155" s="1">
        <v>19</v>
      </c>
      <c r="F1155" s="1">
        <v>230</v>
      </c>
      <c r="G1155" s="1">
        <v>4370</v>
      </c>
      <c r="H1155" s="1">
        <v>0.11</v>
      </c>
      <c r="I1155" s="1">
        <v>481</v>
      </c>
      <c r="J1155" t="s">
        <v>22</v>
      </c>
    </row>
    <row r="1156" spans="1:10" x14ac:dyDescent="0.35">
      <c r="A1156" t="s">
        <v>1186</v>
      </c>
      <c r="B1156" s="2">
        <v>43300</v>
      </c>
      <c r="C1156" t="s">
        <v>11</v>
      </c>
      <c r="D1156" t="s">
        <v>16</v>
      </c>
      <c r="E1156" s="1">
        <v>10</v>
      </c>
      <c r="F1156" s="1">
        <v>80</v>
      </c>
      <c r="G1156" s="1">
        <v>800</v>
      </c>
      <c r="H1156" s="1">
        <v>0.11</v>
      </c>
      <c r="I1156" s="1">
        <v>88</v>
      </c>
      <c r="J1156" t="s">
        <v>25</v>
      </c>
    </row>
    <row r="1157" spans="1:10" x14ac:dyDescent="0.35">
      <c r="A1157" t="s">
        <v>1187</v>
      </c>
      <c r="B1157" s="2">
        <v>43300</v>
      </c>
      <c r="C1157" t="s">
        <v>15</v>
      </c>
      <c r="D1157" t="s">
        <v>27</v>
      </c>
      <c r="E1157" s="1">
        <v>18</v>
      </c>
      <c r="F1157" s="1">
        <v>40</v>
      </c>
      <c r="G1157" s="1">
        <v>720</v>
      </c>
      <c r="H1157" s="1">
        <v>0.06</v>
      </c>
      <c r="I1157" s="1">
        <v>43</v>
      </c>
      <c r="J1157" t="s">
        <v>28</v>
      </c>
    </row>
    <row r="1158" spans="1:10" x14ac:dyDescent="0.35">
      <c r="A1158" t="s">
        <v>1188</v>
      </c>
      <c r="B1158" s="2">
        <v>43300</v>
      </c>
      <c r="C1158" t="s">
        <v>11</v>
      </c>
      <c r="D1158" t="s">
        <v>27</v>
      </c>
      <c r="E1158" s="1">
        <v>16</v>
      </c>
      <c r="F1158" s="1">
        <v>80</v>
      </c>
      <c r="G1158" s="1">
        <v>1280</v>
      </c>
      <c r="H1158" s="1">
        <v>0.05</v>
      </c>
      <c r="I1158" s="1">
        <v>64</v>
      </c>
      <c r="J1158" t="s">
        <v>32</v>
      </c>
    </row>
    <row r="1159" spans="1:10" x14ac:dyDescent="0.35">
      <c r="A1159" t="s">
        <v>1189</v>
      </c>
      <c r="B1159" s="2">
        <v>43300</v>
      </c>
      <c r="C1159" t="s">
        <v>34</v>
      </c>
      <c r="D1159" t="s">
        <v>31</v>
      </c>
      <c r="E1159" s="1">
        <v>17</v>
      </c>
      <c r="F1159" s="1">
        <v>150</v>
      </c>
      <c r="G1159" s="1">
        <v>2550</v>
      </c>
      <c r="H1159" s="1">
        <v>0.02</v>
      </c>
      <c r="I1159" s="1">
        <v>51</v>
      </c>
      <c r="J1159" t="s">
        <v>35</v>
      </c>
    </row>
    <row r="1160" spans="1:10" x14ac:dyDescent="0.35">
      <c r="A1160" t="s">
        <v>1190</v>
      </c>
      <c r="B1160" s="2">
        <v>43301</v>
      </c>
      <c r="C1160" t="s">
        <v>19</v>
      </c>
      <c r="D1160" t="s">
        <v>12</v>
      </c>
      <c r="E1160" s="1">
        <v>8</v>
      </c>
      <c r="F1160" s="1">
        <v>230</v>
      </c>
      <c r="G1160" s="1">
        <v>1840</v>
      </c>
      <c r="H1160" s="1">
        <v>0.03</v>
      </c>
      <c r="I1160" s="1">
        <v>55</v>
      </c>
      <c r="J1160" t="s">
        <v>37</v>
      </c>
    </row>
    <row r="1161" spans="1:10" x14ac:dyDescent="0.35">
      <c r="A1161" t="s">
        <v>1191</v>
      </c>
      <c r="B1161" s="2">
        <v>43301</v>
      </c>
      <c r="C1161" t="s">
        <v>11</v>
      </c>
      <c r="D1161" t="s">
        <v>27</v>
      </c>
      <c r="E1161" s="1">
        <v>11</v>
      </c>
      <c r="F1161" s="1">
        <v>80</v>
      </c>
      <c r="G1161" s="1">
        <v>880</v>
      </c>
      <c r="H1161" s="1">
        <v>0.01</v>
      </c>
      <c r="I1161" s="1">
        <v>9</v>
      </c>
      <c r="J1161" t="s">
        <v>39</v>
      </c>
    </row>
    <row r="1162" spans="1:10" x14ac:dyDescent="0.35">
      <c r="A1162" t="s">
        <v>1192</v>
      </c>
      <c r="B1162" s="2">
        <v>43301</v>
      </c>
      <c r="C1162" t="s">
        <v>15</v>
      </c>
      <c r="D1162" t="s">
        <v>12</v>
      </c>
      <c r="E1162" s="1">
        <v>5</v>
      </c>
      <c r="F1162" s="1">
        <v>40</v>
      </c>
      <c r="G1162" s="1">
        <v>200</v>
      </c>
      <c r="H1162" s="1">
        <v>0.06</v>
      </c>
      <c r="I1162" s="1">
        <v>12</v>
      </c>
      <c r="J1162" t="s">
        <v>41</v>
      </c>
    </row>
    <row r="1163" spans="1:10" x14ac:dyDescent="0.35">
      <c r="A1163" t="s">
        <v>1193</v>
      </c>
      <c r="B1163" s="2">
        <v>43301</v>
      </c>
      <c r="C1163" t="s">
        <v>15</v>
      </c>
      <c r="D1163" t="s">
        <v>31</v>
      </c>
      <c r="E1163" s="1">
        <v>11</v>
      </c>
      <c r="F1163" s="1">
        <v>40</v>
      </c>
      <c r="G1163" s="1">
        <v>440</v>
      </c>
      <c r="H1163" s="1">
        <v>0.05</v>
      </c>
      <c r="I1163" s="1">
        <v>22</v>
      </c>
      <c r="J1163" t="s">
        <v>43</v>
      </c>
    </row>
    <row r="1164" spans="1:10" x14ac:dyDescent="0.35">
      <c r="A1164" t="s">
        <v>1194</v>
      </c>
      <c r="B1164" s="2">
        <v>43301</v>
      </c>
      <c r="C1164" t="s">
        <v>34</v>
      </c>
      <c r="D1164" t="s">
        <v>27</v>
      </c>
      <c r="E1164" s="1">
        <v>20</v>
      </c>
      <c r="F1164" s="1">
        <v>150</v>
      </c>
      <c r="G1164" s="1">
        <v>3000</v>
      </c>
      <c r="H1164" s="1">
        <v>0.1</v>
      </c>
      <c r="I1164" s="1">
        <v>300</v>
      </c>
      <c r="J1164" t="s">
        <v>13</v>
      </c>
    </row>
    <row r="1165" spans="1:10" x14ac:dyDescent="0.35">
      <c r="A1165" t="s">
        <v>1195</v>
      </c>
      <c r="B1165" s="2">
        <v>43301</v>
      </c>
      <c r="C1165" t="s">
        <v>34</v>
      </c>
      <c r="D1165" t="s">
        <v>24</v>
      </c>
      <c r="E1165" s="1">
        <v>11</v>
      </c>
      <c r="F1165" s="1">
        <v>150</v>
      </c>
      <c r="G1165" s="1">
        <v>1650</v>
      </c>
      <c r="H1165" s="1">
        <v>0.11</v>
      </c>
      <c r="I1165" s="1">
        <v>182</v>
      </c>
      <c r="J1165" t="s">
        <v>17</v>
      </c>
    </row>
    <row r="1166" spans="1:10" x14ac:dyDescent="0.35">
      <c r="A1166" t="s">
        <v>1196</v>
      </c>
      <c r="B1166" s="2">
        <v>43301</v>
      </c>
      <c r="C1166" t="s">
        <v>11</v>
      </c>
      <c r="D1166" t="s">
        <v>27</v>
      </c>
      <c r="E1166" s="1">
        <v>2</v>
      </c>
      <c r="F1166" s="1">
        <v>80</v>
      </c>
      <c r="G1166" s="1">
        <v>160</v>
      </c>
      <c r="H1166" s="1">
        <v>0.08</v>
      </c>
      <c r="I1166" s="1">
        <v>13</v>
      </c>
      <c r="J1166" t="s">
        <v>20</v>
      </c>
    </row>
    <row r="1167" spans="1:10" x14ac:dyDescent="0.35">
      <c r="A1167" t="s">
        <v>1197</v>
      </c>
      <c r="B1167" s="2">
        <v>43301</v>
      </c>
      <c r="C1167" t="s">
        <v>34</v>
      </c>
      <c r="D1167" t="s">
        <v>16</v>
      </c>
      <c r="E1167" s="1">
        <v>16</v>
      </c>
      <c r="F1167" s="1">
        <v>150</v>
      </c>
      <c r="G1167" s="1">
        <v>2400</v>
      </c>
      <c r="H1167" s="1">
        <v>0.08</v>
      </c>
      <c r="I1167" s="1">
        <v>192</v>
      </c>
      <c r="J1167" t="s">
        <v>22</v>
      </c>
    </row>
    <row r="1168" spans="1:10" x14ac:dyDescent="0.35">
      <c r="A1168" t="s">
        <v>1198</v>
      </c>
      <c r="B1168" s="2">
        <v>43301</v>
      </c>
      <c r="C1168" t="s">
        <v>30</v>
      </c>
      <c r="D1168" t="s">
        <v>12</v>
      </c>
      <c r="E1168" s="1">
        <v>20</v>
      </c>
      <c r="F1168" s="1">
        <v>16</v>
      </c>
      <c r="G1168" s="1">
        <v>320</v>
      </c>
      <c r="H1168" s="1">
        <v>0.11</v>
      </c>
      <c r="I1168" s="1">
        <v>35</v>
      </c>
      <c r="J1168" t="s">
        <v>25</v>
      </c>
    </row>
    <row r="1169" spans="1:10" x14ac:dyDescent="0.35">
      <c r="A1169" t="s">
        <v>1199</v>
      </c>
      <c r="B1169" s="2">
        <v>43301</v>
      </c>
      <c r="C1169" t="s">
        <v>19</v>
      </c>
      <c r="D1169" t="s">
        <v>24</v>
      </c>
      <c r="E1169" s="1">
        <v>2</v>
      </c>
      <c r="F1169" s="1">
        <v>230</v>
      </c>
      <c r="G1169" s="1">
        <v>460</v>
      </c>
      <c r="H1169" s="1">
        <v>0.09</v>
      </c>
      <c r="I1169" s="1">
        <v>41</v>
      </c>
      <c r="J1169" t="s">
        <v>28</v>
      </c>
    </row>
    <row r="1170" spans="1:10" x14ac:dyDescent="0.35">
      <c r="A1170" t="s">
        <v>1200</v>
      </c>
      <c r="B1170" s="2">
        <v>43301</v>
      </c>
      <c r="C1170" t="s">
        <v>34</v>
      </c>
      <c r="D1170" t="s">
        <v>12</v>
      </c>
      <c r="E1170" s="1">
        <v>20</v>
      </c>
      <c r="F1170" s="1">
        <v>150</v>
      </c>
      <c r="G1170" s="1">
        <v>3000</v>
      </c>
      <c r="H1170" s="1">
        <v>0.04</v>
      </c>
      <c r="I1170" s="1">
        <v>120</v>
      </c>
      <c r="J1170" t="s">
        <v>17</v>
      </c>
    </row>
    <row r="1171" spans="1:10" x14ac:dyDescent="0.35">
      <c r="A1171" t="s">
        <v>1201</v>
      </c>
      <c r="B1171" s="2">
        <v>43301</v>
      </c>
      <c r="C1171" t="s">
        <v>34</v>
      </c>
      <c r="D1171" t="s">
        <v>12</v>
      </c>
      <c r="E1171" s="1">
        <v>22</v>
      </c>
      <c r="F1171" s="1">
        <v>150</v>
      </c>
      <c r="G1171" s="1">
        <v>3300</v>
      </c>
      <c r="H1171" s="1">
        <v>7.0000000000000007E-2</v>
      </c>
      <c r="I1171" s="1">
        <v>231</v>
      </c>
      <c r="J1171" t="s">
        <v>20</v>
      </c>
    </row>
    <row r="1172" spans="1:10" x14ac:dyDescent="0.35">
      <c r="A1172" t="s">
        <v>1202</v>
      </c>
      <c r="B1172" s="2">
        <v>43301</v>
      </c>
      <c r="C1172" t="s">
        <v>34</v>
      </c>
      <c r="D1172" t="s">
        <v>24</v>
      </c>
      <c r="E1172" s="1">
        <v>22</v>
      </c>
      <c r="F1172" s="1">
        <v>150</v>
      </c>
      <c r="G1172" s="1">
        <v>3300</v>
      </c>
      <c r="H1172" s="1">
        <v>0.04</v>
      </c>
      <c r="I1172" s="1">
        <v>132</v>
      </c>
      <c r="J1172" t="s">
        <v>22</v>
      </c>
    </row>
    <row r="1173" spans="1:10" x14ac:dyDescent="0.35">
      <c r="A1173" t="s">
        <v>1203</v>
      </c>
      <c r="B1173" s="2">
        <v>43301</v>
      </c>
      <c r="C1173" t="s">
        <v>15</v>
      </c>
      <c r="D1173" t="s">
        <v>12</v>
      </c>
      <c r="E1173" s="1">
        <v>23</v>
      </c>
      <c r="F1173" s="1">
        <v>40</v>
      </c>
      <c r="G1173" s="1">
        <v>920</v>
      </c>
      <c r="H1173" s="1">
        <v>7.0000000000000007E-2</v>
      </c>
      <c r="I1173" s="1">
        <v>64</v>
      </c>
      <c r="J1173" t="s">
        <v>25</v>
      </c>
    </row>
    <row r="1174" spans="1:10" x14ac:dyDescent="0.35">
      <c r="A1174" t="s">
        <v>1204</v>
      </c>
      <c r="B1174" s="2">
        <v>43302</v>
      </c>
      <c r="C1174" t="s">
        <v>30</v>
      </c>
      <c r="D1174" t="s">
        <v>24</v>
      </c>
      <c r="E1174" s="1">
        <v>11</v>
      </c>
      <c r="F1174" s="1">
        <v>16</v>
      </c>
      <c r="G1174" s="1">
        <v>176</v>
      </c>
      <c r="H1174" s="1">
        <v>0.04</v>
      </c>
      <c r="I1174" s="1">
        <v>7</v>
      </c>
      <c r="J1174" t="s">
        <v>28</v>
      </c>
    </row>
    <row r="1175" spans="1:10" x14ac:dyDescent="0.35">
      <c r="A1175" t="s">
        <v>1205</v>
      </c>
      <c r="B1175" s="2">
        <v>43302</v>
      </c>
      <c r="C1175" t="s">
        <v>19</v>
      </c>
      <c r="D1175" t="s">
        <v>16</v>
      </c>
      <c r="E1175" s="1">
        <v>11</v>
      </c>
      <c r="F1175" s="1">
        <v>230</v>
      </c>
      <c r="G1175" s="1">
        <v>2530</v>
      </c>
      <c r="H1175" s="1">
        <v>0.1</v>
      </c>
      <c r="I1175" s="1">
        <v>253</v>
      </c>
      <c r="J1175" t="s">
        <v>32</v>
      </c>
    </row>
    <row r="1176" spans="1:10" x14ac:dyDescent="0.35">
      <c r="A1176" t="s">
        <v>1206</v>
      </c>
      <c r="B1176" s="2">
        <v>43302</v>
      </c>
      <c r="C1176" t="s">
        <v>19</v>
      </c>
      <c r="D1176" t="s">
        <v>12</v>
      </c>
      <c r="E1176" s="1">
        <v>7</v>
      </c>
      <c r="F1176" s="1">
        <v>230</v>
      </c>
      <c r="G1176" s="1">
        <v>1610</v>
      </c>
      <c r="H1176" s="1">
        <v>0.08</v>
      </c>
      <c r="I1176" s="1">
        <v>129</v>
      </c>
      <c r="J1176" t="s">
        <v>35</v>
      </c>
    </row>
    <row r="1177" spans="1:10" x14ac:dyDescent="0.35">
      <c r="A1177" t="s">
        <v>1207</v>
      </c>
      <c r="B1177" s="2">
        <v>43302</v>
      </c>
      <c r="C1177" t="s">
        <v>19</v>
      </c>
      <c r="D1177" t="s">
        <v>27</v>
      </c>
      <c r="E1177" s="1">
        <v>16</v>
      </c>
      <c r="F1177" s="1">
        <v>230</v>
      </c>
      <c r="G1177" s="1">
        <v>3680</v>
      </c>
      <c r="H1177" s="1">
        <v>0.11</v>
      </c>
      <c r="I1177" s="1">
        <v>405</v>
      </c>
      <c r="J1177" t="s">
        <v>39</v>
      </c>
    </row>
    <row r="1178" spans="1:10" x14ac:dyDescent="0.35">
      <c r="A1178" t="s">
        <v>1208</v>
      </c>
      <c r="B1178" s="2">
        <v>43302</v>
      </c>
      <c r="C1178" t="s">
        <v>19</v>
      </c>
      <c r="D1178" t="s">
        <v>31</v>
      </c>
      <c r="E1178" s="1">
        <v>20</v>
      </c>
      <c r="F1178" s="1">
        <v>230</v>
      </c>
      <c r="G1178" s="1">
        <v>4600</v>
      </c>
      <c r="H1178" s="1">
        <v>0.09</v>
      </c>
      <c r="I1178" s="1">
        <v>414</v>
      </c>
      <c r="J1178" t="s">
        <v>41</v>
      </c>
    </row>
    <row r="1179" spans="1:10" x14ac:dyDescent="0.35">
      <c r="A1179" t="s">
        <v>1209</v>
      </c>
      <c r="B1179" s="2">
        <v>43302</v>
      </c>
      <c r="C1179" t="s">
        <v>15</v>
      </c>
      <c r="D1179" t="s">
        <v>24</v>
      </c>
      <c r="E1179" s="1">
        <v>20</v>
      </c>
      <c r="F1179" s="1">
        <v>40</v>
      </c>
      <c r="G1179" s="1">
        <v>800</v>
      </c>
      <c r="H1179" s="1">
        <v>0.01</v>
      </c>
      <c r="I1179" s="1">
        <v>8</v>
      </c>
      <c r="J1179" t="s">
        <v>43</v>
      </c>
    </row>
    <row r="1180" spans="1:10" x14ac:dyDescent="0.35">
      <c r="A1180" t="s">
        <v>1210</v>
      </c>
      <c r="B1180" s="2">
        <v>43302</v>
      </c>
      <c r="C1180" t="s">
        <v>11</v>
      </c>
      <c r="D1180" t="s">
        <v>12</v>
      </c>
      <c r="E1180" s="1">
        <v>20</v>
      </c>
      <c r="F1180" s="1">
        <v>80</v>
      </c>
      <c r="G1180" s="1">
        <v>1600</v>
      </c>
      <c r="H1180" s="1">
        <v>0.01</v>
      </c>
      <c r="I1180" s="1">
        <v>16</v>
      </c>
      <c r="J1180" t="s">
        <v>13</v>
      </c>
    </row>
    <row r="1181" spans="1:10" x14ac:dyDescent="0.35">
      <c r="A1181" t="s">
        <v>1211</v>
      </c>
      <c r="B1181" s="2">
        <v>43302</v>
      </c>
      <c r="C1181" t="s">
        <v>34</v>
      </c>
      <c r="D1181" t="s">
        <v>12</v>
      </c>
      <c r="E1181" s="1">
        <v>5</v>
      </c>
      <c r="F1181" s="1">
        <v>150</v>
      </c>
      <c r="G1181" s="1">
        <v>750</v>
      </c>
      <c r="H1181" s="1">
        <v>0.11</v>
      </c>
      <c r="I1181" s="1">
        <v>82</v>
      </c>
      <c r="J1181" t="s">
        <v>17</v>
      </c>
    </row>
    <row r="1182" spans="1:10" x14ac:dyDescent="0.35">
      <c r="A1182" t="s">
        <v>1212</v>
      </c>
      <c r="B1182" s="2">
        <v>43303</v>
      </c>
      <c r="C1182" t="s">
        <v>15</v>
      </c>
      <c r="D1182" t="s">
        <v>24</v>
      </c>
      <c r="E1182" s="1">
        <v>4</v>
      </c>
      <c r="F1182" s="1">
        <v>40</v>
      </c>
      <c r="G1182" s="1">
        <v>160</v>
      </c>
      <c r="H1182" s="1">
        <v>0.11</v>
      </c>
      <c r="I1182" s="1">
        <v>18</v>
      </c>
      <c r="J1182" t="s">
        <v>20</v>
      </c>
    </row>
    <row r="1183" spans="1:10" x14ac:dyDescent="0.35">
      <c r="A1183" t="s">
        <v>1213</v>
      </c>
      <c r="B1183" s="2">
        <v>43303</v>
      </c>
      <c r="C1183" t="s">
        <v>30</v>
      </c>
      <c r="D1183" t="s">
        <v>12</v>
      </c>
      <c r="E1183" s="1">
        <v>7</v>
      </c>
      <c r="F1183" s="1">
        <v>16</v>
      </c>
      <c r="G1183" s="1">
        <v>112</v>
      </c>
      <c r="H1183" s="1">
        <v>0.12</v>
      </c>
      <c r="I1183" s="1">
        <v>13</v>
      </c>
      <c r="J1183" t="s">
        <v>22</v>
      </c>
    </row>
    <row r="1184" spans="1:10" x14ac:dyDescent="0.35">
      <c r="A1184" t="s">
        <v>1214</v>
      </c>
      <c r="B1184" s="2">
        <v>43303</v>
      </c>
      <c r="C1184" t="s">
        <v>30</v>
      </c>
      <c r="D1184" t="s">
        <v>16</v>
      </c>
      <c r="E1184" s="1">
        <v>22</v>
      </c>
      <c r="F1184" s="1">
        <v>16</v>
      </c>
      <c r="G1184" s="1">
        <v>352</v>
      </c>
      <c r="H1184" s="1">
        <v>0.01</v>
      </c>
      <c r="I1184" s="1">
        <v>4</v>
      </c>
      <c r="J1184" t="s">
        <v>25</v>
      </c>
    </row>
    <row r="1185" spans="1:10" x14ac:dyDescent="0.35">
      <c r="A1185" t="s">
        <v>1215</v>
      </c>
      <c r="B1185" s="2">
        <v>43303</v>
      </c>
      <c r="C1185" t="s">
        <v>15</v>
      </c>
      <c r="D1185" t="s">
        <v>27</v>
      </c>
      <c r="E1185" s="1">
        <v>15</v>
      </c>
      <c r="F1185" s="1">
        <v>40</v>
      </c>
      <c r="G1185" s="1">
        <v>600</v>
      </c>
      <c r="H1185" s="1">
        <v>0.03</v>
      </c>
      <c r="I1185" s="1">
        <v>18</v>
      </c>
      <c r="J1185" t="s">
        <v>28</v>
      </c>
    </row>
    <row r="1186" spans="1:10" x14ac:dyDescent="0.35">
      <c r="A1186" t="s">
        <v>1216</v>
      </c>
      <c r="B1186" s="2">
        <v>43303</v>
      </c>
      <c r="C1186" t="s">
        <v>11</v>
      </c>
      <c r="D1186" t="s">
        <v>16</v>
      </c>
      <c r="E1186" s="1">
        <v>14</v>
      </c>
      <c r="F1186" s="1">
        <v>80</v>
      </c>
      <c r="G1186" s="1">
        <v>1120</v>
      </c>
      <c r="H1186" s="1">
        <v>0.11</v>
      </c>
      <c r="I1186" s="1">
        <v>123</v>
      </c>
      <c r="J1186" t="s">
        <v>17</v>
      </c>
    </row>
    <row r="1187" spans="1:10" x14ac:dyDescent="0.35">
      <c r="A1187" t="s">
        <v>1217</v>
      </c>
      <c r="B1187" s="2">
        <v>43303</v>
      </c>
      <c r="C1187" t="s">
        <v>30</v>
      </c>
      <c r="D1187" t="s">
        <v>16</v>
      </c>
      <c r="E1187" s="1">
        <v>15</v>
      </c>
      <c r="F1187" s="1">
        <v>16</v>
      </c>
      <c r="G1187" s="1">
        <v>240</v>
      </c>
      <c r="H1187" s="1">
        <v>0.02</v>
      </c>
      <c r="I1187" s="1">
        <v>5</v>
      </c>
      <c r="J1187" t="s">
        <v>20</v>
      </c>
    </row>
    <row r="1188" spans="1:10" x14ac:dyDescent="0.35">
      <c r="A1188" t="s">
        <v>1218</v>
      </c>
      <c r="B1188" s="2">
        <v>43304</v>
      </c>
      <c r="C1188" t="s">
        <v>11</v>
      </c>
      <c r="D1188" t="s">
        <v>27</v>
      </c>
      <c r="E1188" s="1">
        <v>19</v>
      </c>
      <c r="F1188" s="1">
        <v>80</v>
      </c>
      <c r="G1188" s="1">
        <v>1520</v>
      </c>
      <c r="H1188" s="1">
        <v>0.02</v>
      </c>
      <c r="I1188" s="1">
        <v>30</v>
      </c>
      <c r="J1188" t="s">
        <v>22</v>
      </c>
    </row>
    <row r="1189" spans="1:10" x14ac:dyDescent="0.35">
      <c r="A1189" t="s">
        <v>1219</v>
      </c>
      <c r="B1189" s="2">
        <v>43304</v>
      </c>
      <c r="C1189" t="s">
        <v>15</v>
      </c>
      <c r="D1189" t="s">
        <v>31</v>
      </c>
      <c r="E1189" s="1">
        <v>20</v>
      </c>
      <c r="F1189" s="1">
        <v>40</v>
      </c>
      <c r="G1189" s="1">
        <v>800</v>
      </c>
      <c r="H1189" s="1">
        <v>0.05</v>
      </c>
      <c r="I1189" s="1">
        <v>40</v>
      </c>
      <c r="J1189" t="s">
        <v>25</v>
      </c>
    </row>
    <row r="1190" spans="1:10" x14ac:dyDescent="0.35">
      <c r="A1190" t="s">
        <v>1220</v>
      </c>
      <c r="B1190" s="2">
        <v>43304</v>
      </c>
      <c r="C1190" t="s">
        <v>15</v>
      </c>
      <c r="D1190" t="s">
        <v>27</v>
      </c>
      <c r="E1190" s="1">
        <v>11</v>
      </c>
      <c r="F1190" s="1">
        <v>40</v>
      </c>
      <c r="G1190" s="1">
        <v>440</v>
      </c>
      <c r="H1190" s="1">
        <v>0.06</v>
      </c>
      <c r="I1190" s="1">
        <v>26</v>
      </c>
      <c r="J1190" t="s">
        <v>28</v>
      </c>
    </row>
    <row r="1191" spans="1:10" x14ac:dyDescent="0.35">
      <c r="A1191" t="s">
        <v>1221</v>
      </c>
      <c r="B1191" s="2">
        <v>43304</v>
      </c>
      <c r="C1191" t="s">
        <v>34</v>
      </c>
      <c r="D1191" t="s">
        <v>24</v>
      </c>
      <c r="E1191" s="1">
        <v>11</v>
      </c>
      <c r="F1191" s="1">
        <v>150</v>
      </c>
      <c r="G1191" s="1">
        <v>1650</v>
      </c>
      <c r="H1191" s="1">
        <v>0.05</v>
      </c>
      <c r="I1191" s="1">
        <v>82</v>
      </c>
      <c r="J1191" t="s">
        <v>32</v>
      </c>
    </row>
    <row r="1192" spans="1:10" x14ac:dyDescent="0.35">
      <c r="A1192" t="s">
        <v>1222</v>
      </c>
      <c r="B1192" s="2">
        <v>43304</v>
      </c>
      <c r="C1192" t="s">
        <v>11</v>
      </c>
      <c r="D1192" t="s">
        <v>27</v>
      </c>
      <c r="E1192" s="1">
        <v>23</v>
      </c>
      <c r="F1192" s="1">
        <v>80</v>
      </c>
      <c r="G1192" s="1">
        <v>1840</v>
      </c>
      <c r="H1192" s="1">
        <v>0.11</v>
      </c>
      <c r="I1192" s="1">
        <v>202</v>
      </c>
      <c r="J1192" t="s">
        <v>35</v>
      </c>
    </row>
    <row r="1193" spans="1:10" x14ac:dyDescent="0.35">
      <c r="A1193" t="s">
        <v>1223</v>
      </c>
      <c r="B1193" s="2">
        <v>43304</v>
      </c>
      <c r="C1193" t="s">
        <v>11</v>
      </c>
      <c r="D1193" t="s">
        <v>12</v>
      </c>
      <c r="E1193" s="1">
        <v>8</v>
      </c>
      <c r="F1193" s="1">
        <v>80</v>
      </c>
      <c r="G1193" s="1">
        <v>640</v>
      </c>
      <c r="H1193" s="1">
        <v>0.09</v>
      </c>
      <c r="I1193" s="1">
        <v>58</v>
      </c>
      <c r="J1193" t="s">
        <v>37</v>
      </c>
    </row>
    <row r="1194" spans="1:10" x14ac:dyDescent="0.35">
      <c r="A1194" t="s">
        <v>1224</v>
      </c>
      <c r="B1194" s="2">
        <v>43304</v>
      </c>
      <c r="C1194" t="s">
        <v>15</v>
      </c>
      <c r="D1194" t="s">
        <v>27</v>
      </c>
      <c r="E1194" s="1">
        <v>9</v>
      </c>
      <c r="F1194" s="1">
        <v>40</v>
      </c>
      <c r="G1194" s="1">
        <v>360</v>
      </c>
      <c r="H1194" s="1">
        <v>0.06</v>
      </c>
      <c r="I1194" s="1">
        <v>22</v>
      </c>
      <c r="J1194" t="s">
        <v>39</v>
      </c>
    </row>
    <row r="1195" spans="1:10" x14ac:dyDescent="0.35">
      <c r="A1195" t="s">
        <v>1225</v>
      </c>
      <c r="B1195" s="2">
        <v>43304</v>
      </c>
      <c r="C1195" t="s">
        <v>19</v>
      </c>
      <c r="D1195" t="s">
        <v>31</v>
      </c>
      <c r="E1195" s="1">
        <v>13</v>
      </c>
      <c r="F1195" s="1">
        <v>230</v>
      </c>
      <c r="G1195" s="1">
        <v>2990</v>
      </c>
      <c r="H1195" s="1">
        <v>0.06</v>
      </c>
      <c r="I1195" s="1">
        <v>179</v>
      </c>
      <c r="J1195" t="s">
        <v>41</v>
      </c>
    </row>
    <row r="1196" spans="1:10" x14ac:dyDescent="0.35">
      <c r="A1196" t="s">
        <v>1226</v>
      </c>
      <c r="B1196" s="2">
        <v>43304</v>
      </c>
      <c r="C1196" t="s">
        <v>15</v>
      </c>
      <c r="D1196" t="s">
        <v>27</v>
      </c>
      <c r="E1196" s="1">
        <v>22</v>
      </c>
      <c r="F1196" s="1">
        <v>40</v>
      </c>
      <c r="G1196" s="1">
        <v>880</v>
      </c>
      <c r="H1196" s="1">
        <v>0.01</v>
      </c>
      <c r="I1196" s="1">
        <v>9</v>
      </c>
      <c r="J1196" t="s">
        <v>43</v>
      </c>
    </row>
    <row r="1197" spans="1:10" x14ac:dyDescent="0.35">
      <c r="A1197" t="s">
        <v>1227</v>
      </c>
      <c r="B1197" s="2">
        <v>43304</v>
      </c>
      <c r="C1197" t="s">
        <v>30</v>
      </c>
      <c r="D1197" t="s">
        <v>31</v>
      </c>
      <c r="E1197" s="1">
        <v>14</v>
      </c>
      <c r="F1197" s="1">
        <v>16</v>
      </c>
      <c r="G1197" s="1">
        <v>224</v>
      </c>
      <c r="H1197" s="1">
        <v>0.06</v>
      </c>
      <c r="I1197" s="1">
        <v>13</v>
      </c>
      <c r="J1197" t="s">
        <v>13</v>
      </c>
    </row>
    <row r="1198" spans="1:10" x14ac:dyDescent="0.35">
      <c r="A1198" t="s">
        <v>1228</v>
      </c>
      <c r="B1198" s="2">
        <v>43305</v>
      </c>
      <c r="C1198" t="s">
        <v>11</v>
      </c>
      <c r="D1198" t="s">
        <v>16</v>
      </c>
      <c r="E1198" s="1">
        <v>5</v>
      </c>
      <c r="F1198" s="1">
        <v>80</v>
      </c>
      <c r="G1198" s="1">
        <v>400</v>
      </c>
      <c r="H1198" s="1">
        <v>0.04</v>
      </c>
      <c r="I1198" s="1">
        <v>16</v>
      </c>
      <c r="J1198" t="s">
        <v>17</v>
      </c>
    </row>
    <row r="1199" spans="1:10" x14ac:dyDescent="0.35">
      <c r="A1199" t="s">
        <v>1229</v>
      </c>
      <c r="B1199" s="2">
        <v>43305</v>
      </c>
      <c r="C1199" t="s">
        <v>34</v>
      </c>
      <c r="D1199" t="s">
        <v>31</v>
      </c>
      <c r="E1199" s="1">
        <v>18</v>
      </c>
      <c r="F1199" s="1">
        <v>150</v>
      </c>
      <c r="G1199" s="1">
        <v>2700</v>
      </c>
      <c r="H1199" s="1">
        <v>0.12</v>
      </c>
      <c r="I1199" s="1">
        <v>324</v>
      </c>
      <c r="J1199" t="s">
        <v>20</v>
      </c>
    </row>
    <row r="1200" spans="1:10" x14ac:dyDescent="0.35">
      <c r="A1200" t="s">
        <v>1230</v>
      </c>
      <c r="B1200" s="2">
        <v>43305</v>
      </c>
      <c r="C1200" t="s">
        <v>19</v>
      </c>
      <c r="D1200" t="s">
        <v>24</v>
      </c>
      <c r="E1200" s="1">
        <v>14</v>
      </c>
      <c r="F1200" s="1">
        <v>230</v>
      </c>
      <c r="G1200" s="1">
        <v>3220</v>
      </c>
      <c r="H1200" s="1">
        <v>0.12</v>
      </c>
      <c r="I1200" s="1">
        <v>386</v>
      </c>
      <c r="J1200" t="s">
        <v>22</v>
      </c>
    </row>
    <row r="1201" spans="1:10" x14ac:dyDescent="0.35">
      <c r="A1201" t="s">
        <v>1231</v>
      </c>
      <c r="B1201" s="2">
        <v>43305</v>
      </c>
      <c r="C1201" t="s">
        <v>19</v>
      </c>
      <c r="D1201" t="s">
        <v>31</v>
      </c>
      <c r="E1201" s="1">
        <v>20</v>
      </c>
      <c r="F1201" s="1">
        <v>230</v>
      </c>
      <c r="G1201" s="1">
        <v>4600</v>
      </c>
      <c r="H1201" s="1">
        <v>0.11</v>
      </c>
      <c r="I1201" s="1">
        <v>506</v>
      </c>
      <c r="J1201" t="s">
        <v>25</v>
      </c>
    </row>
    <row r="1202" spans="1:10" x14ac:dyDescent="0.35">
      <c r="A1202" t="s">
        <v>1232</v>
      </c>
      <c r="B1202" s="2">
        <v>43305</v>
      </c>
      <c r="C1202" t="s">
        <v>30</v>
      </c>
      <c r="D1202" t="s">
        <v>31</v>
      </c>
      <c r="E1202" s="1">
        <v>3</v>
      </c>
      <c r="F1202" s="1">
        <v>16</v>
      </c>
      <c r="G1202" s="1">
        <v>48</v>
      </c>
      <c r="H1202" s="1">
        <v>0.03</v>
      </c>
      <c r="I1202" s="1">
        <v>1</v>
      </c>
      <c r="J1202" t="s">
        <v>28</v>
      </c>
    </row>
    <row r="1203" spans="1:10" x14ac:dyDescent="0.35">
      <c r="A1203" t="s">
        <v>1233</v>
      </c>
      <c r="B1203" s="2">
        <v>43305</v>
      </c>
      <c r="C1203" t="s">
        <v>19</v>
      </c>
      <c r="D1203" t="s">
        <v>24</v>
      </c>
      <c r="E1203" s="1">
        <v>20</v>
      </c>
      <c r="F1203" s="1">
        <v>230</v>
      </c>
      <c r="G1203" s="1">
        <v>4600</v>
      </c>
      <c r="H1203" s="1">
        <v>0.06</v>
      </c>
      <c r="I1203" s="1">
        <v>276</v>
      </c>
      <c r="J1203" t="s">
        <v>17</v>
      </c>
    </row>
    <row r="1204" spans="1:10" x14ac:dyDescent="0.35">
      <c r="A1204" t="s">
        <v>1234</v>
      </c>
      <c r="B1204" s="2">
        <v>43305</v>
      </c>
      <c r="C1204" t="s">
        <v>11</v>
      </c>
      <c r="D1204" t="s">
        <v>31</v>
      </c>
      <c r="E1204" s="1">
        <v>9</v>
      </c>
      <c r="F1204" s="1">
        <v>80</v>
      </c>
      <c r="G1204" s="1">
        <v>720</v>
      </c>
      <c r="H1204" s="1">
        <v>0.02</v>
      </c>
      <c r="I1204" s="1">
        <v>14</v>
      </c>
      <c r="J1204" t="s">
        <v>20</v>
      </c>
    </row>
    <row r="1205" spans="1:10" x14ac:dyDescent="0.35">
      <c r="A1205" t="s">
        <v>1235</v>
      </c>
      <c r="B1205" s="2">
        <v>43305</v>
      </c>
      <c r="C1205" t="s">
        <v>30</v>
      </c>
      <c r="D1205" t="s">
        <v>27</v>
      </c>
      <c r="E1205" s="1">
        <v>22</v>
      </c>
      <c r="F1205" s="1">
        <v>16</v>
      </c>
      <c r="G1205" s="1">
        <v>352</v>
      </c>
      <c r="H1205" s="1">
        <v>0.03</v>
      </c>
      <c r="I1205" s="1">
        <v>11</v>
      </c>
      <c r="J1205" t="s">
        <v>22</v>
      </c>
    </row>
    <row r="1206" spans="1:10" x14ac:dyDescent="0.35">
      <c r="A1206" t="s">
        <v>1236</v>
      </c>
      <c r="B1206" s="2">
        <v>43305</v>
      </c>
      <c r="C1206" t="s">
        <v>11</v>
      </c>
      <c r="D1206" t="s">
        <v>16</v>
      </c>
      <c r="E1206" s="1">
        <v>15</v>
      </c>
      <c r="F1206" s="1">
        <v>80</v>
      </c>
      <c r="G1206" s="1">
        <v>1200</v>
      </c>
      <c r="H1206" s="1">
        <v>0.12</v>
      </c>
      <c r="I1206" s="1">
        <v>144</v>
      </c>
      <c r="J1206" t="s">
        <v>25</v>
      </c>
    </row>
    <row r="1207" spans="1:10" x14ac:dyDescent="0.35">
      <c r="A1207" t="s">
        <v>1237</v>
      </c>
      <c r="B1207" s="2">
        <v>43305</v>
      </c>
      <c r="C1207" t="s">
        <v>34</v>
      </c>
      <c r="D1207" t="s">
        <v>12</v>
      </c>
      <c r="E1207" s="1">
        <v>11</v>
      </c>
      <c r="F1207" s="1">
        <v>150</v>
      </c>
      <c r="G1207" s="1">
        <v>1650</v>
      </c>
      <c r="H1207" s="1">
        <v>0.05</v>
      </c>
      <c r="I1207" s="1">
        <v>82</v>
      </c>
      <c r="J1207" t="s">
        <v>28</v>
      </c>
    </row>
    <row r="1208" spans="1:10" x14ac:dyDescent="0.35">
      <c r="A1208" t="s">
        <v>1238</v>
      </c>
      <c r="B1208" s="2">
        <v>43305</v>
      </c>
      <c r="C1208" t="s">
        <v>19</v>
      </c>
      <c r="D1208" t="s">
        <v>27</v>
      </c>
      <c r="E1208" s="1">
        <v>11</v>
      </c>
      <c r="F1208" s="1">
        <v>230</v>
      </c>
      <c r="G1208" s="1">
        <v>2530</v>
      </c>
      <c r="H1208" s="1">
        <v>0.12</v>
      </c>
      <c r="I1208" s="1">
        <v>304</v>
      </c>
      <c r="J1208" t="s">
        <v>32</v>
      </c>
    </row>
    <row r="1209" spans="1:10" x14ac:dyDescent="0.35">
      <c r="A1209" t="s">
        <v>1239</v>
      </c>
      <c r="B1209" s="2">
        <v>43305</v>
      </c>
      <c r="C1209" t="s">
        <v>34</v>
      </c>
      <c r="D1209" t="s">
        <v>12</v>
      </c>
      <c r="E1209" s="1">
        <v>20</v>
      </c>
      <c r="F1209" s="1">
        <v>150</v>
      </c>
      <c r="G1209" s="1">
        <v>3000</v>
      </c>
      <c r="H1209" s="1">
        <v>0.01</v>
      </c>
      <c r="I1209" s="1">
        <v>30</v>
      </c>
      <c r="J1209" t="s">
        <v>35</v>
      </c>
    </row>
    <row r="1210" spans="1:10" x14ac:dyDescent="0.35">
      <c r="A1210" t="s">
        <v>1240</v>
      </c>
      <c r="B1210" s="2">
        <v>43305</v>
      </c>
      <c r="C1210" t="s">
        <v>15</v>
      </c>
      <c r="D1210" t="s">
        <v>24</v>
      </c>
      <c r="E1210" s="1">
        <v>11</v>
      </c>
      <c r="F1210" s="1">
        <v>40</v>
      </c>
      <c r="G1210" s="1">
        <v>440</v>
      </c>
      <c r="H1210" s="1">
        <v>0.12</v>
      </c>
      <c r="I1210" s="1">
        <v>53</v>
      </c>
      <c r="J1210" t="s">
        <v>37</v>
      </c>
    </row>
    <row r="1211" spans="1:10" x14ac:dyDescent="0.35">
      <c r="A1211" t="s">
        <v>1241</v>
      </c>
      <c r="B1211" s="2">
        <v>43306</v>
      </c>
      <c r="C1211" t="s">
        <v>19</v>
      </c>
      <c r="D1211" t="s">
        <v>24</v>
      </c>
      <c r="E1211" s="1">
        <v>12</v>
      </c>
      <c r="F1211" s="1">
        <v>230</v>
      </c>
      <c r="G1211" s="1">
        <v>2760</v>
      </c>
      <c r="H1211" s="1">
        <v>0.06</v>
      </c>
      <c r="I1211" s="1">
        <v>166</v>
      </c>
      <c r="J1211" t="s">
        <v>39</v>
      </c>
    </row>
    <row r="1212" spans="1:10" x14ac:dyDescent="0.35">
      <c r="A1212" t="s">
        <v>1242</v>
      </c>
      <c r="B1212" s="2">
        <v>43306</v>
      </c>
      <c r="C1212" t="s">
        <v>15</v>
      </c>
      <c r="D1212" t="s">
        <v>12</v>
      </c>
      <c r="E1212" s="1">
        <v>15</v>
      </c>
      <c r="F1212" s="1">
        <v>40</v>
      </c>
      <c r="G1212" s="1">
        <v>600</v>
      </c>
      <c r="H1212" s="1">
        <v>0.06</v>
      </c>
      <c r="I1212" s="1">
        <v>36</v>
      </c>
      <c r="J1212" t="s">
        <v>41</v>
      </c>
    </row>
    <row r="1213" spans="1:10" x14ac:dyDescent="0.35">
      <c r="A1213" t="s">
        <v>1243</v>
      </c>
      <c r="B1213" s="2">
        <v>43306</v>
      </c>
      <c r="C1213" t="s">
        <v>15</v>
      </c>
      <c r="D1213" t="s">
        <v>27</v>
      </c>
      <c r="E1213" s="1">
        <v>13</v>
      </c>
      <c r="F1213" s="1">
        <v>40</v>
      </c>
      <c r="G1213" s="1">
        <v>520</v>
      </c>
      <c r="H1213" s="1">
        <v>0.09</v>
      </c>
      <c r="I1213" s="1">
        <v>47</v>
      </c>
      <c r="J1213" t="s">
        <v>43</v>
      </c>
    </row>
    <row r="1214" spans="1:10" x14ac:dyDescent="0.35">
      <c r="A1214" t="s">
        <v>1244</v>
      </c>
      <c r="B1214" s="2">
        <v>43306</v>
      </c>
      <c r="C1214" t="s">
        <v>15</v>
      </c>
      <c r="D1214" t="s">
        <v>31</v>
      </c>
      <c r="E1214" s="1">
        <v>4</v>
      </c>
      <c r="F1214" s="1">
        <v>40</v>
      </c>
      <c r="G1214" s="1">
        <v>160</v>
      </c>
      <c r="H1214" s="1">
        <v>0.09</v>
      </c>
      <c r="I1214" s="1">
        <v>14</v>
      </c>
      <c r="J1214" t="s">
        <v>13</v>
      </c>
    </row>
    <row r="1215" spans="1:10" x14ac:dyDescent="0.35">
      <c r="A1215" t="s">
        <v>1245</v>
      </c>
      <c r="B1215" s="2">
        <v>43306</v>
      </c>
      <c r="C1215" t="s">
        <v>19</v>
      </c>
      <c r="D1215" t="s">
        <v>27</v>
      </c>
      <c r="E1215" s="1">
        <v>18</v>
      </c>
      <c r="F1215" s="1">
        <v>230</v>
      </c>
      <c r="G1215" s="1">
        <v>4140</v>
      </c>
      <c r="H1215" s="1">
        <v>0.01</v>
      </c>
      <c r="I1215" s="1">
        <v>41</v>
      </c>
      <c r="J1215" t="s">
        <v>17</v>
      </c>
    </row>
    <row r="1216" spans="1:10" x14ac:dyDescent="0.35">
      <c r="A1216" t="s">
        <v>1246</v>
      </c>
      <c r="B1216" s="2">
        <v>43306</v>
      </c>
      <c r="C1216" t="s">
        <v>30</v>
      </c>
      <c r="D1216" t="s">
        <v>12</v>
      </c>
      <c r="E1216" s="1">
        <v>7</v>
      </c>
      <c r="F1216" s="1">
        <v>16</v>
      </c>
      <c r="G1216" s="1">
        <v>112</v>
      </c>
      <c r="H1216" s="1">
        <v>0.02</v>
      </c>
      <c r="I1216" s="1">
        <v>2</v>
      </c>
      <c r="J1216" t="s">
        <v>20</v>
      </c>
    </row>
    <row r="1217" spans="1:10" x14ac:dyDescent="0.35">
      <c r="A1217" t="s">
        <v>1247</v>
      </c>
      <c r="B1217" s="2">
        <v>43306</v>
      </c>
      <c r="C1217" t="s">
        <v>30</v>
      </c>
      <c r="D1217" t="s">
        <v>24</v>
      </c>
      <c r="E1217" s="1">
        <v>6</v>
      </c>
      <c r="F1217" s="1">
        <v>16</v>
      </c>
      <c r="G1217" s="1">
        <v>96</v>
      </c>
      <c r="H1217" s="1">
        <v>7.0000000000000007E-2</v>
      </c>
      <c r="I1217" s="1">
        <v>7</v>
      </c>
      <c r="J1217" t="s">
        <v>22</v>
      </c>
    </row>
    <row r="1218" spans="1:10" x14ac:dyDescent="0.35">
      <c r="A1218" t="s">
        <v>1248</v>
      </c>
      <c r="B1218" s="2">
        <v>43306</v>
      </c>
      <c r="C1218" t="s">
        <v>19</v>
      </c>
      <c r="D1218" t="s">
        <v>27</v>
      </c>
      <c r="E1218" s="1">
        <v>8</v>
      </c>
      <c r="F1218" s="1">
        <v>230</v>
      </c>
      <c r="G1218" s="1">
        <v>1840</v>
      </c>
      <c r="H1218" s="1">
        <v>0.05</v>
      </c>
      <c r="I1218" s="1">
        <v>92</v>
      </c>
      <c r="J1218" t="s">
        <v>25</v>
      </c>
    </row>
    <row r="1219" spans="1:10" x14ac:dyDescent="0.35">
      <c r="A1219" t="s">
        <v>1249</v>
      </c>
      <c r="B1219" s="2">
        <v>43306</v>
      </c>
      <c r="C1219" t="s">
        <v>30</v>
      </c>
      <c r="D1219" t="s">
        <v>24</v>
      </c>
      <c r="E1219" s="1">
        <v>12</v>
      </c>
      <c r="F1219" s="1">
        <v>16</v>
      </c>
      <c r="G1219" s="1">
        <v>192</v>
      </c>
      <c r="H1219" s="1">
        <v>0.11</v>
      </c>
      <c r="I1219" s="1">
        <v>21</v>
      </c>
      <c r="J1219" t="s">
        <v>28</v>
      </c>
    </row>
    <row r="1220" spans="1:10" x14ac:dyDescent="0.35">
      <c r="A1220" t="s">
        <v>1250</v>
      </c>
      <c r="B1220" s="2">
        <v>43306</v>
      </c>
      <c r="C1220" t="s">
        <v>19</v>
      </c>
      <c r="D1220" t="s">
        <v>12</v>
      </c>
      <c r="E1220" s="1">
        <v>11</v>
      </c>
      <c r="F1220" s="1">
        <v>230</v>
      </c>
      <c r="G1220" s="1">
        <v>2530</v>
      </c>
      <c r="H1220" s="1">
        <v>0.02</v>
      </c>
      <c r="I1220" s="1">
        <v>51</v>
      </c>
      <c r="J1220" t="s">
        <v>17</v>
      </c>
    </row>
    <row r="1221" spans="1:10" x14ac:dyDescent="0.35">
      <c r="A1221" t="s">
        <v>1251</v>
      </c>
      <c r="B1221" s="2">
        <v>43306</v>
      </c>
      <c r="C1221" t="s">
        <v>30</v>
      </c>
      <c r="D1221" t="s">
        <v>24</v>
      </c>
      <c r="E1221" s="1">
        <v>3</v>
      </c>
      <c r="F1221" s="1">
        <v>16</v>
      </c>
      <c r="G1221" s="1">
        <v>48</v>
      </c>
      <c r="H1221" s="1">
        <v>0.05</v>
      </c>
      <c r="I1221" s="1">
        <v>2</v>
      </c>
      <c r="J1221" t="s">
        <v>20</v>
      </c>
    </row>
    <row r="1222" spans="1:10" x14ac:dyDescent="0.35">
      <c r="A1222" t="s">
        <v>1252</v>
      </c>
      <c r="B1222" s="2">
        <v>43307</v>
      </c>
      <c r="C1222" t="s">
        <v>34</v>
      </c>
      <c r="D1222" t="s">
        <v>16</v>
      </c>
      <c r="E1222" s="1">
        <v>16</v>
      </c>
      <c r="F1222" s="1">
        <v>150</v>
      </c>
      <c r="G1222" s="1">
        <v>2400</v>
      </c>
      <c r="H1222" s="1">
        <v>0.05</v>
      </c>
      <c r="I1222" s="1">
        <v>120</v>
      </c>
      <c r="J1222" t="s">
        <v>22</v>
      </c>
    </row>
    <row r="1223" spans="1:10" x14ac:dyDescent="0.35">
      <c r="A1223" t="s">
        <v>1253</v>
      </c>
      <c r="B1223" s="2">
        <v>43307</v>
      </c>
      <c r="C1223" t="s">
        <v>19</v>
      </c>
      <c r="D1223" t="s">
        <v>27</v>
      </c>
      <c r="E1223" s="1">
        <v>8</v>
      </c>
      <c r="F1223" s="1">
        <v>230</v>
      </c>
      <c r="G1223" s="1">
        <v>1840</v>
      </c>
      <c r="H1223" s="1">
        <v>0.01</v>
      </c>
      <c r="I1223" s="1">
        <v>18</v>
      </c>
      <c r="J1223" t="s">
        <v>25</v>
      </c>
    </row>
    <row r="1224" spans="1:10" x14ac:dyDescent="0.35">
      <c r="A1224" t="s">
        <v>1254</v>
      </c>
      <c r="B1224" s="2">
        <v>43307</v>
      </c>
      <c r="C1224" t="s">
        <v>11</v>
      </c>
      <c r="D1224" t="s">
        <v>24</v>
      </c>
      <c r="E1224" s="1">
        <v>16</v>
      </c>
      <c r="F1224" s="1">
        <v>80</v>
      </c>
      <c r="G1224" s="1">
        <v>1280</v>
      </c>
      <c r="H1224" s="1">
        <v>0.04</v>
      </c>
      <c r="I1224" s="1">
        <v>51</v>
      </c>
      <c r="J1224" t="s">
        <v>28</v>
      </c>
    </row>
    <row r="1225" spans="1:10" x14ac:dyDescent="0.35">
      <c r="A1225" t="s">
        <v>1255</v>
      </c>
      <c r="B1225" s="2">
        <v>43307</v>
      </c>
      <c r="C1225" t="s">
        <v>30</v>
      </c>
      <c r="D1225" t="s">
        <v>27</v>
      </c>
      <c r="E1225" s="1">
        <v>18</v>
      </c>
      <c r="F1225" s="1">
        <v>16</v>
      </c>
      <c r="G1225" s="1">
        <v>288</v>
      </c>
      <c r="H1225" s="1">
        <v>0.04</v>
      </c>
      <c r="I1225" s="1">
        <v>12</v>
      </c>
      <c r="J1225" t="s">
        <v>32</v>
      </c>
    </row>
    <row r="1226" spans="1:10" x14ac:dyDescent="0.35">
      <c r="A1226" t="s">
        <v>1256</v>
      </c>
      <c r="B1226" s="2">
        <v>43307</v>
      </c>
      <c r="C1226" t="s">
        <v>15</v>
      </c>
      <c r="D1226" t="s">
        <v>31</v>
      </c>
      <c r="E1226" s="1">
        <v>14</v>
      </c>
      <c r="F1226" s="1">
        <v>40</v>
      </c>
      <c r="G1226" s="1">
        <v>560</v>
      </c>
      <c r="H1226" s="1">
        <v>0.11</v>
      </c>
      <c r="I1226" s="1">
        <v>62</v>
      </c>
      <c r="J1226" t="s">
        <v>35</v>
      </c>
    </row>
    <row r="1227" spans="1:10" x14ac:dyDescent="0.35">
      <c r="A1227" t="s">
        <v>1257</v>
      </c>
      <c r="B1227" s="2">
        <v>43307</v>
      </c>
      <c r="C1227" t="s">
        <v>30</v>
      </c>
      <c r="D1227" t="s">
        <v>16</v>
      </c>
      <c r="E1227" s="1">
        <v>21</v>
      </c>
      <c r="F1227" s="1">
        <v>16</v>
      </c>
      <c r="G1227" s="1">
        <v>336</v>
      </c>
      <c r="H1227" s="1">
        <v>0.02</v>
      </c>
      <c r="I1227" s="1">
        <v>7</v>
      </c>
      <c r="J1227" t="s">
        <v>37</v>
      </c>
    </row>
    <row r="1228" spans="1:10" x14ac:dyDescent="0.35">
      <c r="A1228" t="s">
        <v>1258</v>
      </c>
      <c r="B1228" s="2">
        <v>43307</v>
      </c>
      <c r="C1228" t="s">
        <v>30</v>
      </c>
      <c r="D1228" t="s">
        <v>16</v>
      </c>
      <c r="E1228" s="1">
        <v>7</v>
      </c>
      <c r="F1228" s="1">
        <v>16</v>
      </c>
      <c r="G1228" s="1">
        <v>112</v>
      </c>
      <c r="H1228" s="1">
        <v>0.08</v>
      </c>
      <c r="I1228" s="1">
        <v>9</v>
      </c>
      <c r="J1228" t="s">
        <v>39</v>
      </c>
    </row>
    <row r="1229" spans="1:10" x14ac:dyDescent="0.35">
      <c r="A1229" t="s">
        <v>1259</v>
      </c>
      <c r="B1229" s="2">
        <v>43307</v>
      </c>
      <c r="C1229" t="s">
        <v>11</v>
      </c>
      <c r="D1229" t="s">
        <v>24</v>
      </c>
      <c r="E1229" s="1">
        <v>7</v>
      </c>
      <c r="F1229" s="1">
        <v>80</v>
      </c>
      <c r="G1229" s="1">
        <v>560</v>
      </c>
      <c r="H1229" s="1">
        <v>0.05</v>
      </c>
      <c r="I1229" s="1">
        <v>28</v>
      </c>
      <c r="J1229" t="s">
        <v>41</v>
      </c>
    </row>
    <row r="1230" spans="1:10" x14ac:dyDescent="0.35">
      <c r="A1230" t="s">
        <v>1260</v>
      </c>
      <c r="B1230" s="2">
        <v>43307</v>
      </c>
      <c r="C1230" t="s">
        <v>15</v>
      </c>
      <c r="D1230" t="s">
        <v>31</v>
      </c>
      <c r="E1230" s="1">
        <v>16</v>
      </c>
      <c r="F1230" s="1">
        <v>40</v>
      </c>
      <c r="G1230" s="1">
        <v>640</v>
      </c>
      <c r="H1230" s="1">
        <v>0.09</v>
      </c>
      <c r="I1230" s="1">
        <v>58</v>
      </c>
      <c r="J1230" t="s">
        <v>43</v>
      </c>
    </row>
    <row r="1231" spans="1:10" x14ac:dyDescent="0.35">
      <c r="A1231" t="s">
        <v>1261</v>
      </c>
      <c r="B1231" s="2">
        <v>43307</v>
      </c>
      <c r="C1231" t="s">
        <v>19</v>
      </c>
      <c r="D1231" t="s">
        <v>31</v>
      </c>
      <c r="E1231" s="1">
        <v>22</v>
      </c>
      <c r="F1231" s="1">
        <v>230</v>
      </c>
      <c r="G1231" s="1">
        <v>5060</v>
      </c>
      <c r="H1231" s="1">
        <v>0.1</v>
      </c>
      <c r="I1231" s="1">
        <v>506</v>
      </c>
      <c r="J1231" t="s">
        <v>13</v>
      </c>
    </row>
    <row r="1232" spans="1:10" x14ac:dyDescent="0.35">
      <c r="A1232" t="s">
        <v>1262</v>
      </c>
      <c r="B1232" s="2">
        <v>43307</v>
      </c>
      <c r="C1232" t="s">
        <v>15</v>
      </c>
      <c r="D1232" t="s">
        <v>16</v>
      </c>
      <c r="E1232" s="1">
        <v>4</v>
      </c>
      <c r="F1232" s="1">
        <v>40</v>
      </c>
      <c r="G1232" s="1">
        <v>160</v>
      </c>
      <c r="H1232" s="1">
        <v>0.03</v>
      </c>
      <c r="I1232" s="1">
        <v>5</v>
      </c>
      <c r="J1232" t="s">
        <v>17</v>
      </c>
    </row>
    <row r="1233" spans="1:10" x14ac:dyDescent="0.35">
      <c r="A1233" t="s">
        <v>1263</v>
      </c>
      <c r="B1233" s="2">
        <v>43307</v>
      </c>
      <c r="C1233" t="s">
        <v>19</v>
      </c>
      <c r="D1233" t="s">
        <v>31</v>
      </c>
      <c r="E1233" s="1">
        <v>3</v>
      </c>
      <c r="F1233" s="1">
        <v>230</v>
      </c>
      <c r="G1233" s="1">
        <v>690</v>
      </c>
      <c r="H1233" s="1">
        <v>0.1</v>
      </c>
      <c r="I1233" s="1">
        <v>69</v>
      </c>
      <c r="J1233" t="s">
        <v>20</v>
      </c>
    </row>
    <row r="1234" spans="1:10" x14ac:dyDescent="0.35">
      <c r="A1234" t="s">
        <v>1264</v>
      </c>
      <c r="B1234" s="2">
        <v>43307</v>
      </c>
      <c r="C1234" t="s">
        <v>11</v>
      </c>
      <c r="D1234" t="s">
        <v>16</v>
      </c>
      <c r="E1234" s="1">
        <v>14</v>
      </c>
      <c r="F1234" s="1">
        <v>80</v>
      </c>
      <c r="G1234" s="1">
        <v>1120</v>
      </c>
      <c r="H1234" s="1">
        <v>0.11</v>
      </c>
      <c r="I1234" s="1">
        <v>123</v>
      </c>
      <c r="J1234" t="s">
        <v>22</v>
      </c>
    </row>
    <row r="1235" spans="1:10" x14ac:dyDescent="0.35">
      <c r="A1235" t="s">
        <v>1265</v>
      </c>
      <c r="B1235" s="2">
        <v>43308</v>
      </c>
      <c r="C1235" t="s">
        <v>15</v>
      </c>
      <c r="D1235" t="s">
        <v>31</v>
      </c>
      <c r="E1235" s="1">
        <v>21</v>
      </c>
      <c r="F1235" s="1">
        <v>40</v>
      </c>
      <c r="G1235" s="1">
        <v>840</v>
      </c>
      <c r="H1235" s="1">
        <v>0.01</v>
      </c>
      <c r="I1235" s="1">
        <v>8</v>
      </c>
      <c r="J1235" t="s">
        <v>25</v>
      </c>
    </row>
    <row r="1236" spans="1:10" x14ac:dyDescent="0.35">
      <c r="A1236" t="s">
        <v>1266</v>
      </c>
      <c r="B1236" s="2">
        <v>43308</v>
      </c>
      <c r="C1236" t="s">
        <v>30</v>
      </c>
      <c r="D1236" t="s">
        <v>16</v>
      </c>
      <c r="E1236" s="1">
        <v>20</v>
      </c>
      <c r="F1236" s="1">
        <v>16</v>
      </c>
      <c r="G1236" s="1">
        <v>320</v>
      </c>
      <c r="H1236" s="1">
        <v>0.06</v>
      </c>
      <c r="I1236" s="1">
        <v>19</v>
      </c>
      <c r="J1236" t="s">
        <v>28</v>
      </c>
    </row>
    <row r="1237" spans="1:10" x14ac:dyDescent="0.35">
      <c r="A1237" t="s">
        <v>1267</v>
      </c>
      <c r="B1237" s="2">
        <v>43308</v>
      </c>
      <c r="C1237" t="s">
        <v>11</v>
      </c>
      <c r="D1237" t="s">
        <v>31</v>
      </c>
      <c r="E1237" s="1">
        <v>22</v>
      </c>
      <c r="F1237" s="1">
        <v>80</v>
      </c>
      <c r="G1237" s="1">
        <v>1760</v>
      </c>
      <c r="H1237" s="1">
        <v>0.11</v>
      </c>
      <c r="I1237" s="1">
        <v>194</v>
      </c>
      <c r="J1237" t="s">
        <v>17</v>
      </c>
    </row>
    <row r="1238" spans="1:10" x14ac:dyDescent="0.35">
      <c r="A1238" t="s">
        <v>1268</v>
      </c>
      <c r="B1238" s="2">
        <v>43308</v>
      </c>
      <c r="C1238" t="s">
        <v>15</v>
      </c>
      <c r="D1238" t="s">
        <v>12</v>
      </c>
      <c r="E1238" s="1">
        <v>7</v>
      </c>
      <c r="F1238" s="1">
        <v>40</v>
      </c>
      <c r="G1238" s="1">
        <v>280</v>
      </c>
      <c r="H1238" s="1">
        <v>0.1</v>
      </c>
      <c r="I1238" s="1">
        <v>28</v>
      </c>
      <c r="J1238" t="s">
        <v>20</v>
      </c>
    </row>
    <row r="1239" spans="1:10" x14ac:dyDescent="0.35">
      <c r="A1239" t="s">
        <v>1269</v>
      </c>
      <c r="B1239" s="2">
        <v>43308</v>
      </c>
      <c r="C1239" t="s">
        <v>34</v>
      </c>
      <c r="D1239" t="s">
        <v>16</v>
      </c>
      <c r="E1239" s="1">
        <v>16</v>
      </c>
      <c r="F1239" s="1">
        <v>150</v>
      </c>
      <c r="G1239" s="1">
        <v>2400</v>
      </c>
      <c r="H1239" s="1">
        <v>0.05</v>
      </c>
      <c r="I1239" s="1">
        <v>120</v>
      </c>
      <c r="J1239" t="s">
        <v>22</v>
      </c>
    </row>
    <row r="1240" spans="1:10" x14ac:dyDescent="0.35">
      <c r="A1240" t="s">
        <v>1270</v>
      </c>
      <c r="B1240" s="2">
        <v>43308</v>
      </c>
      <c r="C1240" t="s">
        <v>19</v>
      </c>
      <c r="D1240" t="s">
        <v>16</v>
      </c>
      <c r="E1240" s="1">
        <v>7</v>
      </c>
      <c r="F1240" s="1">
        <v>230</v>
      </c>
      <c r="G1240" s="1">
        <v>1610</v>
      </c>
      <c r="H1240" s="1">
        <v>0.05</v>
      </c>
      <c r="I1240" s="1">
        <v>80</v>
      </c>
      <c r="J1240" t="s">
        <v>25</v>
      </c>
    </row>
    <row r="1241" spans="1:10" x14ac:dyDescent="0.35">
      <c r="A1241" t="s">
        <v>1271</v>
      </c>
      <c r="B1241" s="2">
        <v>43308</v>
      </c>
      <c r="C1241" t="s">
        <v>34</v>
      </c>
      <c r="D1241" t="s">
        <v>12</v>
      </c>
      <c r="E1241" s="1">
        <v>20</v>
      </c>
      <c r="F1241" s="1">
        <v>150</v>
      </c>
      <c r="G1241" s="1">
        <v>3000</v>
      </c>
      <c r="H1241" s="1">
        <v>0.03</v>
      </c>
      <c r="I1241" s="1">
        <v>90</v>
      </c>
      <c r="J1241" t="s">
        <v>28</v>
      </c>
    </row>
    <row r="1242" spans="1:10" x14ac:dyDescent="0.35">
      <c r="A1242" t="s">
        <v>1272</v>
      </c>
      <c r="B1242" s="2">
        <v>43308</v>
      </c>
      <c r="C1242" t="s">
        <v>34</v>
      </c>
      <c r="D1242" t="s">
        <v>16</v>
      </c>
      <c r="E1242" s="1">
        <v>16</v>
      </c>
      <c r="F1242" s="1">
        <v>150</v>
      </c>
      <c r="G1242" s="1">
        <v>2400</v>
      </c>
      <c r="H1242" s="1">
        <v>0.03</v>
      </c>
      <c r="I1242" s="1">
        <v>72</v>
      </c>
      <c r="J1242" t="s">
        <v>32</v>
      </c>
    </row>
    <row r="1243" spans="1:10" x14ac:dyDescent="0.35">
      <c r="A1243" t="s">
        <v>1273</v>
      </c>
      <c r="B1243" s="2">
        <v>43308</v>
      </c>
      <c r="C1243" t="s">
        <v>30</v>
      </c>
      <c r="D1243" t="s">
        <v>27</v>
      </c>
      <c r="E1243" s="1">
        <v>10</v>
      </c>
      <c r="F1243" s="1">
        <v>16</v>
      </c>
      <c r="G1243" s="1">
        <v>160</v>
      </c>
      <c r="H1243" s="1">
        <v>0.04</v>
      </c>
      <c r="I1243" s="1">
        <v>6</v>
      </c>
      <c r="J1243" t="s">
        <v>35</v>
      </c>
    </row>
    <row r="1244" spans="1:10" x14ac:dyDescent="0.35">
      <c r="A1244" t="s">
        <v>1274</v>
      </c>
      <c r="B1244" s="2">
        <v>43308</v>
      </c>
      <c r="C1244" t="s">
        <v>11</v>
      </c>
      <c r="D1244" t="s">
        <v>31</v>
      </c>
      <c r="E1244" s="1">
        <v>6</v>
      </c>
      <c r="F1244" s="1">
        <v>80</v>
      </c>
      <c r="G1244" s="1">
        <v>480</v>
      </c>
      <c r="H1244" s="1">
        <v>0.09</v>
      </c>
      <c r="I1244" s="1">
        <v>43</v>
      </c>
      <c r="J1244" t="s">
        <v>37</v>
      </c>
    </row>
    <row r="1245" spans="1:10" x14ac:dyDescent="0.35">
      <c r="A1245" t="s">
        <v>1275</v>
      </c>
      <c r="B1245" s="2">
        <v>43308</v>
      </c>
      <c r="C1245" t="s">
        <v>11</v>
      </c>
      <c r="D1245" t="s">
        <v>12</v>
      </c>
      <c r="E1245" s="1">
        <v>17</v>
      </c>
      <c r="F1245" s="1">
        <v>80</v>
      </c>
      <c r="G1245" s="1">
        <v>1360</v>
      </c>
      <c r="H1245" s="1">
        <v>0.09</v>
      </c>
      <c r="I1245" s="1">
        <v>122</v>
      </c>
      <c r="J1245" t="s">
        <v>39</v>
      </c>
    </row>
    <row r="1246" spans="1:10" x14ac:dyDescent="0.35">
      <c r="A1246" t="s">
        <v>1276</v>
      </c>
      <c r="B1246" s="2">
        <v>43308</v>
      </c>
      <c r="C1246" t="s">
        <v>15</v>
      </c>
      <c r="D1246" t="s">
        <v>12</v>
      </c>
      <c r="E1246" s="1">
        <v>19</v>
      </c>
      <c r="F1246" s="1">
        <v>40</v>
      </c>
      <c r="G1246" s="1">
        <v>760</v>
      </c>
      <c r="H1246" s="1">
        <v>0.04</v>
      </c>
      <c r="I1246" s="1">
        <v>30</v>
      </c>
      <c r="J1246" t="s">
        <v>41</v>
      </c>
    </row>
    <row r="1247" spans="1:10" x14ac:dyDescent="0.35">
      <c r="A1247" t="s">
        <v>1277</v>
      </c>
      <c r="B1247" s="2">
        <v>43308</v>
      </c>
      <c r="C1247" t="s">
        <v>15</v>
      </c>
      <c r="D1247" t="s">
        <v>31</v>
      </c>
      <c r="E1247" s="1">
        <v>16</v>
      </c>
      <c r="F1247" s="1">
        <v>40</v>
      </c>
      <c r="G1247" s="1">
        <v>640</v>
      </c>
      <c r="H1247" s="1">
        <v>0.09</v>
      </c>
      <c r="I1247" s="1">
        <v>58</v>
      </c>
      <c r="J1247" t="s">
        <v>43</v>
      </c>
    </row>
    <row r="1248" spans="1:10" x14ac:dyDescent="0.35">
      <c r="A1248" t="s">
        <v>1278</v>
      </c>
      <c r="B1248" s="2">
        <v>43308</v>
      </c>
      <c r="C1248" t="s">
        <v>30</v>
      </c>
      <c r="D1248" t="s">
        <v>12</v>
      </c>
      <c r="E1248" s="1">
        <v>4</v>
      </c>
      <c r="F1248" s="1">
        <v>16</v>
      </c>
      <c r="G1248" s="1">
        <v>64</v>
      </c>
      <c r="H1248" s="1">
        <v>0.12</v>
      </c>
      <c r="I1248" s="1">
        <v>8</v>
      </c>
      <c r="J1248" t="s">
        <v>13</v>
      </c>
    </row>
    <row r="1249" spans="1:10" x14ac:dyDescent="0.35">
      <c r="A1249" t="s">
        <v>1279</v>
      </c>
      <c r="B1249" s="2">
        <v>43308</v>
      </c>
      <c r="C1249" t="s">
        <v>34</v>
      </c>
      <c r="D1249" t="s">
        <v>27</v>
      </c>
      <c r="E1249" s="1">
        <v>9</v>
      </c>
      <c r="F1249" s="1">
        <v>150</v>
      </c>
      <c r="G1249" s="1">
        <v>1350</v>
      </c>
      <c r="H1249" s="1">
        <v>0.02</v>
      </c>
      <c r="I1249" s="1">
        <v>27</v>
      </c>
      <c r="J1249" t="s">
        <v>17</v>
      </c>
    </row>
    <row r="1250" spans="1:10" x14ac:dyDescent="0.35">
      <c r="A1250" t="s">
        <v>1280</v>
      </c>
      <c r="B1250" s="2">
        <v>43308</v>
      </c>
      <c r="C1250" t="s">
        <v>30</v>
      </c>
      <c r="D1250" t="s">
        <v>12</v>
      </c>
      <c r="E1250" s="1">
        <v>11</v>
      </c>
      <c r="F1250" s="1">
        <v>16</v>
      </c>
      <c r="G1250" s="1">
        <v>176</v>
      </c>
      <c r="H1250" s="1">
        <v>0.09</v>
      </c>
      <c r="I1250" s="1">
        <v>16</v>
      </c>
      <c r="J1250" t="s">
        <v>20</v>
      </c>
    </row>
    <row r="1251" spans="1:10" x14ac:dyDescent="0.35">
      <c r="A1251" t="s">
        <v>1281</v>
      </c>
      <c r="B1251" s="2">
        <v>43308</v>
      </c>
      <c r="C1251" t="s">
        <v>11</v>
      </c>
      <c r="D1251" t="s">
        <v>16</v>
      </c>
      <c r="E1251" s="1">
        <v>17</v>
      </c>
      <c r="F1251" s="1">
        <v>80</v>
      </c>
      <c r="G1251" s="1">
        <v>1360</v>
      </c>
      <c r="H1251" s="1">
        <v>0.03</v>
      </c>
      <c r="I1251" s="1">
        <v>41</v>
      </c>
      <c r="J1251" t="s">
        <v>22</v>
      </c>
    </row>
    <row r="1252" spans="1:10" x14ac:dyDescent="0.35">
      <c r="A1252" t="s">
        <v>1282</v>
      </c>
      <c r="B1252" s="2">
        <v>43309</v>
      </c>
      <c r="C1252" t="s">
        <v>34</v>
      </c>
      <c r="D1252" t="s">
        <v>12</v>
      </c>
      <c r="E1252" s="1">
        <v>3</v>
      </c>
      <c r="F1252" s="1">
        <v>150</v>
      </c>
      <c r="G1252" s="1">
        <v>450</v>
      </c>
      <c r="H1252" s="1">
        <v>0.03</v>
      </c>
      <c r="I1252" s="1">
        <v>14</v>
      </c>
      <c r="J1252" t="s">
        <v>25</v>
      </c>
    </row>
    <row r="1253" spans="1:10" x14ac:dyDescent="0.35">
      <c r="A1253" t="s">
        <v>1283</v>
      </c>
      <c r="B1253" s="2">
        <v>43309</v>
      </c>
      <c r="C1253" t="s">
        <v>19</v>
      </c>
      <c r="D1253" t="s">
        <v>27</v>
      </c>
      <c r="E1253" s="1">
        <v>2</v>
      </c>
      <c r="F1253" s="1">
        <v>230</v>
      </c>
      <c r="G1253" s="1">
        <v>460</v>
      </c>
      <c r="H1253" s="1">
        <v>0.08</v>
      </c>
      <c r="I1253" s="1">
        <v>37</v>
      </c>
      <c r="J1253" t="s">
        <v>28</v>
      </c>
    </row>
    <row r="1254" spans="1:10" x14ac:dyDescent="0.35">
      <c r="A1254" t="s">
        <v>1284</v>
      </c>
      <c r="B1254" s="2">
        <v>43309</v>
      </c>
      <c r="C1254" t="s">
        <v>19</v>
      </c>
      <c r="D1254" t="s">
        <v>27</v>
      </c>
      <c r="E1254" s="1">
        <v>17</v>
      </c>
      <c r="F1254" s="1">
        <v>230</v>
      </c>
      <c r="G1254" s="1">
        <v>3910</v>
      </c>
      <c r="H1254" s="1">
        <v>0.12</v>
      </c>
      <c r="I1254" s="1">
        <v>469</v>
      </c>
      <c r="J1254" t="s">
        <v>17</v>
      </c>
    </row>
    <row r="1255" spans="1:10" x14ac:dyDescent="0.35">
      <c r="A1255" t="s">
        <v>1285</v>
      </c>
      <c r="B1255" s="2">
        <v>43309</v>
      </c>
      <c r="C1255" t="s">
        <v>34</v>
      </c>
      <c r="D1255" t="s">
        <v>16</v>
      </c>
      <c r="E1255" s="1">
        <v>2</v>
      </c>
      <c r="F1255" s="1">
        <v>150</v>
      </c>
      <c r="G1255" s="1">
        <v>300</v>
      </c>
      <c r="H1255" s="1">
        <v>0.09</v>
      </c>
      <c r="I1255" s="1">
        <v>27</v>
      </c>
      <c r="J1255" t="s">
        <v>20</v>
      </c>
    </row>
    <row r="1256" spans="1:10" x14ac:dyDescent="0.35">
      <c r="A1256" t="s">
        <v>1286</v>
      </c>
      <c r="B1256" s="2">
        <v>43309</v>
      </c>
      <c r="C1256" t="s">
        <v>15</v>
      </c>
      <c r="D1256" t="s">
        <v>27</v>
      </c>
      <c r="E1256" s="1">
        <v>18</v>
      </c>
      <c r="F1256" s="1">
        <v>40</v>
      </c>
      <c r="G1256" s="1">
        <v>720</v>
      </c>
      <c r="H1256" s="1">
        <v>0.06</v>
      </c>
      <c r="I1256" s="1">
        <v>43</v>
      </c>
      <c r="J1256" t="s">
        <v>22</v>
      </c>
    </row>
    <row r="1257" spans="1:10" x14ac:dyDescent="0.35">
      <c r="A1257" t="s">
        <v>1287</v>
      </c>
      <c r="B1257" s="2">
        <v>43309</v>
      </c>
      <c r="C1257" t="s">
        <v>34</v>
      </c>
      <c r="D1257" t="s">
        <v>24</v>
      </c>
      <c r="E1257" s="1">
        <v>18</v>
      </c>
      <c r="F1257" s="1">
        <v>150</v>
      </c>
      <c r="G1257" s="1">
        <v>2700</v>
      </c>
      <c r="H1257" s="1">
        <v>0.06</v>
      </c>
      <c r="I1257" s="1">
        <v>162</v>
      </c>
      <c r="J1257" t="s">
        <v>25</v>
      </c>
    </row>
    <row r="1258" spans="1:10" x14ac:dyDescent="0.35">
      <c r="A1258" t="s">
        <v>1288</v>
      </c>
      <c r="B1258" s="2">
        <v>43309</v>
      </c>
      <c r="C1258" t="s">
        <v>15</v>
      </c>
      <c r="D1258" t="s">
        <v>16</v>
      </c>
      <c r="E1258" s="1">
        <v>12</v>
      </c>
      <c r="F1258" s="1">
        <v>40</v>
      </c>
      <c r="G1258" s="1">
        <v>480</v>
      </c>
      <c r="H1258" s="1">
        <v>0.1</v>
      </c>
      <c r="I1258" s="1">
        <v>48</v>
      </c>
      <c r="J1258" t="s">
        <v>28</v>
      </c>
    </row>
    <row r="1259" spans="1:10" x14ac:dyDescent="0.35">
      <c r="A1259" t="s">
        <v>1289</v>
      </c>
      <c r="B1259" s="2">
        <v>43309</v>
      </c>
      <c r="C1259" t="s">
        <v>11</v>
      </c>
      <c r="D1259" t="s">
        <v>12</v>
      </c>
      <c r="E1259" s="1">
        <v>21</v>
      </c>
      <c r="F1259" s="1">
        <v>80</v>
      </c>
      <c r="G1259" s="1">
        <v>1680</v>
      </c>
      <c r="H1259" s="1">
        <v>0.04</v>
      </c>
      <c r="I1259" s="1">
        <v>67</v>
      </c>
      <c r="J1259" t="s">
        <v>32</v>
      </c>
    </row>
    <row r="1260" spans="1:10" x14ac:dyDescent="0.35">
      <c r="A1260" t="s">
        <v>1290</v>
      </c>
      <c r="B1260" s="2">
        <v>43309</v>
      </c>
      <c r="C1260" t="s">
        <v>15</v>
      </c>
      <c r="D1260" t="s">
        <v>31</v>
      </c>
      <c r="E1260" s="1">
        <v>3</v>
      </c>
      <c r="F1260" s="1">
        <v>40</v>
      </c>
      <c r="G1260" s="1">
        <v>120</v>
      </c>
      <c r="H1260" s="1">
        <v>0.03</v>
      </c>
      <c r="I1260" s="1">
        <v>4</v>
      </c>
      <c r="J1260" t="s">
        <v>35</v>
      </c>
    </row>
    <row r="1261" spans="1:10" x14ac:dyDescent="0.35">
      <c r="A1261" t="s">
        <v>1291</v>
      </c>
      <c r="B1261" s="2">
        <v>43309</v>
      </c>
      <c r="C1261" t="s">
        <v>11</v>
      </c>
      <c r="D1261" t="s">
        <v>31</v>
      </c>
      <c r="E1261" s="1">
        <v>22</v>
      </c>
      <c r="F1261" s="1">
        <v>80</v>
      </c>
      <c r="G1261" s="1">
        <v>1760</v>
      </c>
      <c r="H1261" s="1">
        <v>0.1</v>
      </c>
      <c r="I1261" s="1">
        <v>176</v>
      </c>
      <c r="J1261" t="s">
        <v>37</v>
      </c>
    </row>
    <row r="1262" spans="1:10" x14ac:dyDescent="0.35">
      <c r="A1262" t="s">
        <v>1292</v>
      </c>
      <c r="B1262" s="2">
        <v>43309</v>
      </c>
      <c r="C1262" t="s">
        <v>15</v>
      </c>
      <c r="D1262" t="s">
        <v>31</v>
      </c>
      <c r="E1262" s="1">
        <v>16</v>
      </c>
      <c r="F1262" s="1">
        <v>40</v>
      </c>
      <c r="G1262" s="1">
        <v>640</v>
      </c>
      <c r="H1262" s="1">
        <v>0.11</v>
      </c>
      <c r="I1262" s="1">
        <v>70</v>
      </c>
      <c r="J1262" t="s">
        <v>39</v>
      </c>
    </row>
    <row r="1263" spans="1:10" x14ac:dyDescent="0.35">
      <c r="A1263" t="s">
        <v>1293</v>
      </c>
      <c r="B1263" s="2">
        <v>43309</v>
      </c>
      <c r="C1263" t="s">
        <v>30</v>
      </c>
      <c r="D1263" t="s">
        <v>12</v>
      </c>
      <c r="E1263" s="1">
        <v>11</v>
      </c>
      <c r="F1263" s="1">
        <v>16</v>
      </c>
      <c r="G1263" s="1">
        <v>176</v>
      </c>
      <c r="H1263" s="1">
        <v>0.09</v>
      </c>
      <c r="I1263" s="1">
        <v>16</v>
      </c>
      <c r="J1263" t="s">
        <v>41</v>
      </c>
    </row>
    <row r="1264" spans="1:10" x14ac:dyDescent="0.35">
      <c r="A1264" t="s">
        <v>1294</v>
      </c>
      <c r="B1264" s="2">
        <v>43310</v>
      </c>
      <c r="C1264" t="s">
        <v>11</v>
      </c>
      <c r="D1264" t="s">
        <v>24</v>
      </c>
      <c r="E1264" s="1">
        <v>10</v>
      </c>
      <c r="F1264" s="1">
        <v>80</v>
      </c>
      <c r="G1264" s="1">
        <v>800</v>
      </c>
      <c r="H1264" s="1">
        <v>0.08</v>
      </c>
      <c r="I1264" s="1">
        <v>64</v>
      </c>
      <c r="J1264" t="s">
        <v>43</v>
      </c>
    </row>
    <row r="1265" spans="1:10" x14ac:dyDescent="0.35">
      <c r="A1265" t="s">
        <v>1295</v>
      </c>
      <c r="B1265" s="2">
        <v>43310</v>
      </c>
      <c r="C1265" t="s">
        <v>30</v>
      </c>
      <c r="D1265" t="s">
        <v>24</v>
      </c>
      <c r="E1265" s="1">
        <v>12</v>
      </c>
      <c r="F1265" s="1">
        <v>16</v>
      </c>
      <c r="G1265" s="1">
        <v>192</v>
      </c>
      <c r="H1265" s="1">
        <v>0.03</v>
      </c>
      <c r="I1265" s="1">
        <v>6</v>
      </c>
      <c r="J1265" t="s">
        <v>13</v>
      </c>
    </row>
    <row r="1266" spans="1:10" x14ac:dyDescent="0.35">
      <c r="A1266" t="s">
        <v>1296</v>
      </c>
      <c r="B1266" s="2">
        <v>43310</v>
      </c>
      <c r="C1266" t="s">
        <v>34</v>
      </c>
      <c r="D1266" t="s">
        <v>12</v>
      </c>
      <c r="E1266" s="1">
        <v>8</v>
      </c>
      <c r="F1266" s="1">
        <v>150</v>
      </c>
      <c r="G1266" s="1">
        <v>1200</v>
      </c>
      <c r="H1266" s="1">
        <v>0.09</v>
      </c>
      <c r="I1266" s="1">
        <v>108</v>
      </c>
      <c r="J1266" t="s">
        <v>17</v>
      </c>
    </row>
    <row r="1267" spans="1:10" x14ac:dyDescent="0.35">
      <c r="A1267" t="s">
        <v>1297</v>
      </c>
      <c r="B1267" s="2">
        <v>43310</v>
      </c>
      <c r="C1267" t="s">
        <v>15</v>
      </c>
      <c r="D1267" t="s">
        <v>31</v>
      </c>
      <c r="E1267" s="1">
        <v>10</v>
      </c>
      <c r="F1267" s="1">
        <v>40</v>
      </c>
      <c r="G1267" s="1">
        <v>400</v>
      </c>
      <c r="H1267" s="1">
        <v>0.03</v>
      </c>
      <c r="I1267" s="1">
        <v>12</v>
      </c>
      <c r="J1267" t="s">
        <v>20</v>
      </c>
    </row>
    <row r="1268" spans="1:10" x14ac:dyDescent="0.35">
      <c r="A1268" t="s">
        <v>1298</v>
      </c>
      <c r="B1268" s="2">
        <v>43310</v>
      </c>
      <c r="C1268" t="s">
        <v>34</v>
      </c>
      <c r="D1268" t="s">
        <v>12</v>
      </c>
      <c r="E1268" s="1">
        <v>7</v>
      </c>
      <c r="F1268" s="1">
        <v>150</v>
      </c>
      <c r="G1268" s="1">
        <v>1050</v>
      </c>
      <c r="H1268" s="1">
        <v>0.02</v>
      </c>
      <c r="I1268" s="1">
        <v>21</v>
      </c>
      <c r="J1268" t="s">
        <v>22</v>
      </c>
    </row>
    <row r="1269" spans="1:10" x14ac:dyDescent="0.35">
      <c r="A1269" t="s">
        <v>1299</v>
      </c>
      <c r="B1269" s="2">
        <v>43310</v>
      </c>
      <c r="C1269" t="s">
        <v>30</v>
      </c>
      <c r="D1269" t="s">
        <v>24</v>
      </c>
      <c r="E1269" s="1">
        <v>6</v>
      </c>
      <c r="F1269" s="1">
        <v>16</v>
      </c>
      <c r="G1269" s="1">
        <v>96</v>
      </c>
      <c r="H1269" s="1">
        <v>0.01</v>
      </c>
      <c r="I1269" s="1">
        <v>1</v>
      </c>
      <c r="J1269" t="s">
        <v>25</v>
      </c>
    </row>
    <row r="1270" spans="1:10" x14ac:dyDescent="0.35">
      <c r="A1270" t="s">
        <v>1300</v>
      </c>
      <c r="B1270" s="2">
        <v>43310</v>
      </c>
      <c r="C1270" t="s">
        <v>11</v>
      </c>
      <c r="D1270" t="s">
        <v>27</v>
      </c>
      <c r="E1270" s="1">
        <v>15</v>
      </c>
      <c r="F1270" s="1">
        <v>80</v>
      </c>
      <c r="G1270" s="1">
        <v>1200</v>
      </c>
      <c r="H1270" s="1">
        <v>0.08</v>
      </c>
      <c r="I1270" s="1">
        <v>96</v>
      </c>
      <c r="J1270" t="s">
        <v>28</v>
      </c>
    </row>
    <row r="1271" spans="1:10" x14ac:dyDescent="0.35">
      <c r="A1271" t="s">
        <v>1301</v>
      </c>
      <c r="B1271" s="2">
        <v>43310</v>
      </c>
      <c r="C1271" t="s">
        <v>30</v>
      </c>
      <c r="D1271" t="s">
        <v>31</v>
      </c>
      <c r="E1271" s="1">
        <v>13</v>
      </c>
      <c r="F1271" s="1">
        <v>16</v>
      </c>
      <c r="G1271" s="1">
        <v>208</v>
      </c>
      <c r="H1271" s="1">
        <v>7.0000000000000007E-2</v>
      </c>
      <c r="I1271" s="1">
        <v>15</v>
      </c>
      <c r="J1271" t="s">
        <v>17</v>
      </c>
    </row>
    <row r="1272" spans="1:10" x14ac:dyDescent="0.35">
      <c r="A1272" t="s">
        <v>1302</v>
      </c>
      <c r="B1272" s="2">
        <v>43310</v>
      </c>
      <c r="C1272" t="s">
        <v>19</v>
      </c>
      <c r="D1272" t="s">
        <v>27</v>
      </c>
      <c r="E1272" s="1">
        <v>19</v>
      </c>
      <c r="F1272" s="1">
        <v>230</v>
      </c>
      <c r="G1272" s="1">
        <v>4370</v>
      </c>
      <c r="H1272" s="1">
        <v>0.06</v>
      </c>
      <c r="I1272" s="1">
        <v>262</v>
      </c>
      <c r="J1272" t="s">
        <v>20</v>
      </c>
    </row>
    <row r="1273" spans="1:10" x14ac:dyDescent="0.35">
      <c r="A1273" t="s">
        <v>1303</v>
      </c>
      <c r="B1273" s="2">
        <v>43310</v>
      </c>
      <c r="C1273" t="s">
        <v>11</v>
      </c>
      <c r="D1273" t="s">
        <v>27</v>
      </c>
      <c r="E1273" s="1">
        <v>21</v>
      </c>
      <c r="F1273" s="1">
        <v>80</v>
      </c>
      <c r="G1273" s="1">
        <v>1680</v>
      </c>
      <c r="H1273" s="1">
        <v>0.05</v>
      </c>
      <c r="I1273" s="1">
        <v>84</v>
      </c>
      <c r="J1273" t="s">
        <v>22</v>
      </c>
    </row>
    <row r="1274" spans="1:10" x14ac:dyDescent="0.35">
      <c r="A1274" t="s">
        <v>1304</v>
      </c>
      <c r="B1274" s="2">
        <v>43310</v>
      </c>
      <c r="C1274" t="s">
        <v>11</v>
      </c>
      <c r="D1274" t="s">
        <v>16</v>
      </c>
      <c r="E1274" s="1">
        <v>5</v>
      </c>
      <c r="F1274" s="1">
        <v>80</v>
      </c>
      <c r="G1274" s="1">
        <v>400</v>
      </c>
      <c r="H1274" s="1">
        <v>7.0000000000000007E-2</v>
      </c>
      <c r="I1274" s="1">
        <v>28</v>
      </c>
      <c r="J1274" t="s">
        <v>25</v>
      </c>
    </row>
    <row r="1275" spans="1:10" x14ac:dyDescent="0.35">
      <c r="A1275" t="s">
        <v>1305</v>
      </c>
      <c r="B1275" s="2">
        <v>43310</v>
      </c>
      <c r="C1275" t="s">
        <v>30</v>
      </c>
      <c r="D1275" t="s">
        <v>24</v>
      </c>
      <c r="E1275" s="1">
        <v>8</v>
      </c>
      <c r="F1275" s="1">
        <v>16</v>
      </c>
      <c r="G1275" s="1">
        <v>128</v>
      </c>
      <c r="H1275" s="1">
        <v>0.03</v>
      </c>
      <c r="I1275" s="1">
        <v>4</v>
      </c>
      <c r="J1275" t="s">
        <v>28</v>
      </c>
    </row>
    <row r="1276" spans="1:10" x14ac:dyDescent="0.35">
      <c r="A1276" t="s">
        <v>1306</v>
      </c>
      <c r="B1276" s="2">
        <v>43310</v>
      </c>
      <c r="C1276" t="s">
        <v>30</v>
      </c>
      <c r="D1276" t="s">
        <v>24</v>
      </c>
      <c r="E1276" s="1">
        <v>12</v>
      </c>
      <c r="F1276" s="1">
        <v>16</v>
      </c>
      <c r="G1276" s="1">
        <v>192</v>
      </c>
      <c r="H1276" s="1">
        <v>0.11</v>
      </c>
      <c r="I1276" s="1">
        <v>21</v>
      </c>
      <c r="J1276" t="s">
        <v>32</v>
      </c>
    </row>
    <row r="1277" spans="1:10" x14ac:dyDescent="0.35">
      <c r="A1277" t="s">
        <v>1307</v>
      </c>
      <c r="B1277" s="2">
        <v>43310</v>
      </c>
      <c r="C1277" t="s">
        <v>11</v>
      </c>
      <c r="D1277" t="s">
        <v>27</v>
      </c>
      <c r="E1277" s="1">
        <v>22</v>
      </c>
      <c r="F1277" s="1">
        <v>80</v>
      </c>
      <c r="G1277" s="1">
        <v>1760</v>
      </c>
      <c r="H1277" s="1">
        <v>0.03</v>
      </c>
      <c r="I1277" s="1">
        <v>53</v>
      </c>
      <c r="J1277" t="s">
        <v>35</v>
      </c>
    </row>
    <row r="1278" spans="1:10" x14ac:dyDescent="0.35">
      <c r="A1278" t="s">
        <v>1308</v>
      </c>
      <c r="B1278" s="2">
        <v>43310</v>
      </c>
      <c r="C1278" t="s">
        <v>15</v>
      </c>
      <c r="D1278" t="s">
        <v>12</v>
      </c>
      <c r="E1278" s="1">
        <v>5</v>
      </c>
      <c r="F1278" s="1">
        <v>40</v>
      </c>
      <c r="G1278" s="1">
        <v>200</v>
      </c>
      <c r="H1278" s="1">
        <v>0.09</v>
      </c>
      <c r="I1278" s="1">
        <v>18</v>
      </c>
      <c r="J1278" t="s">
        <v>37</v>
      </c>
    </row>
    <row r="1279" spans="1:10" x14ac:dyDescent="0.35">
      <c r="A1279" t="s">
        <v>1309</v>
      </c>
      <c r="B1279" s="2">
        <v>43311</v>
      </c>
      <c r="C1279" t="s">
        <v>34</v>
      </c>
      <c r="D1279" t="s">
        <v>16</v>
      </c>
      <c r="E1279" s="1">
        <v>23</v>
      </c>
      <c r="F1279" s="1">
        <v>150</v>
      </c>
      <c r="G1279" s="1">
        <v>3450</v>
      </c>
      <c r="H1279" s="1">
        <v>0.11</v>
      </c>
      <c r="I1279" s="1">
        <v>380</v>
      </c>
      <c r="J1279" t="s">
        <v>39</v>
      </c>
    </row>
    <row r="1280" spans="1:10" x14ac:dyDescent="0.35">
      <c r="A1280" t="s">
        <v>1310</v>
      </c>
      <c r="B1280" s="2">
        <v>43311</v>
      </c>
      <c r="C1280" t="s">
        <v>11</v>
      </c>
      <c r="D1280" t="s">
        <v>12</v>
      </c>
      <c r="E1280" s="1">
        <v>16</v>
      </c>
      <c r="F1280" s="1">
        <v>80</v>
      </c>
      <c r="G1280" s="1">
        <v>1280</v>
      </c>
      <c r="H1280" s="1">
        <v>0.03</v>
      </c>
      <c r="I1280" s="1">
        <v>38</v>
      </c>
      <c r="J1280" t="s">
        <v>41</v>
      </c>
    </row>
    <row r="1281" spans="1:10" x14ac:dyDescent="0.35">
      <c r="A1281" t="s">
        <v>1311</v>
      </c>
      <c r="B1281" s="2">
        <v>43311</v>
      </c>
      <c r="C1281" t="s">
        <v>34</v>
      </c>
      <c r="D1281" t="s">
        <v>31</v>
      </c>
      <c r="E1281" s="1">
        <v>15</v>
      </c>
      <c r="F1281" s="1">
        <v>150</v>
      </c>
      <c r="G1281" s="1">
        <v>2250</v>
      </c>
      <c r="H1281" s="1">
        <v>7.0000000000000007E-2</v>
      </c>
      <c r="I1281" s="1">
        <v>158</v>
      </c>
      <c r="J1281" t="s">
        <v>43</v>
      </c>
    </row>
    <row r="1282" spans="1:10" x14ac:dyDescent="0.35">
      <c r="A1282" t="s">
        <v>1312</v>
      </c>
      <c r="B1282" s="2">
        <v>43311</v>
      </c>
      <c r="C1282" t="s">
        <v>15</v>
      </c>
      <c r="D1282" t="s">
        <v>12</v>
      </c>
      <c r="E1282" s="1">
        <v>20</v>
      </c>
      <c r="F1282" s="1">
        <v>40</v>
      </c>
      <c r="G1282" s="1">
        <v>800</v>
      </c>
      <c r="H1282" s="1">
        <v>0.04</v>
      </c>
      <c r="I1282" s="1">
        <v>32</v>
      </c>
      <c r="J1282" t="s">
        <v>13</v>
      </c>
    </row>
    <row r="1283" spans="1:10" x14ac:dyDescent="0.35">
      <c r="A1283" t="s">
        <v>1313</v>
      </c>
      <c r="B1283" s="2">
        <v>43311</v>
      </c>
      <c r="C1283" t="s">
        <v>19</v>
      </c>
      <c r="D1283" t="s">
        <v>24</v>
      </c>
      <c r="E1283" s="1">
        <v>10</v>
      </c>
      <c r="F1283" s="1">
        <v>230</v>
      </c>
      <c r="G1283" s="1">
        <v>2300</v>
      </c>
      <c r="H1283" s="1">
        <v>0.02</v>
      </c>
      <c r="I1283" s="1">
        <v>46</v>
      </c>
      <c r="J1283" t="s">
        <v>17</v>
      </c>
    </row>
    <row r="1284" spans="1:10" x14ac:dyDescent="0.35">
      <c r="A1284" t="s">
        <v>1314</v>
      </c>
      <c r="B1284" s="2">
        <v>43311</v>
      </c>
      <c r="C1284" t="s">
        <v>11</v>
      </c>
      <c r="D1284" t="s">
        <v>16</v>
      </c>
      <c r="E1284" s="1">
        <v>9</v>
      </c>
      <c r="F1284" s="1">
        <v>80</v>
      </c>
      <c r="G1284" s="1">
        <v>720</v>
      </c>
      <c r="H1284" s="1">
        <v>0.03</v>
      </c>
      <c r="I1284" s="1">
        <v>22</v>
      </c>
      <c r="J1284" t="s">
        <v>20</v>
      </c>
    </row>
    <row r="1285" spans="1:10" x14ac:dyDescent="0.35">
      <c r="A1285" t="s">
        <v>1315</v>
      </c>
      <c r="B1285" s="2">
        <v>43311</v>
      </c>
      <c r="C1285" t="s">
        <v>19</v>
      </c>
      <c r="D1285" t="s">
        <v>12</v>
      </c>
      <c r="E1285" s="1">
        <v>16</v>
      </c>
      <c r="F1285" s="1">
        <v>230</v>
      </c>
      <c r="G1285" s="1">
        <v>3680</v>
      </c>
      <c r="H1285" s="1">
        <v>7.0000000000000007E-2</v>
      </c>
      <c r="I1285" s="1">
        <v>258</v>
      </c>
      <c r="J1285" t="s">
        <v>22</v>
      </c>
    </row>
    <row r="1286" spans="1:10" x14ac:dyDescent="0.35">
      <c r="A1286" t="s">
        <v>1316</v>
      </c>
      <c r="B1286" s="2">
        <v>43311</v>
      </c>
      <c r="C1286" t="s">
        <v>11</v>
      </c>
      <c r="D1286" t="s">
        <v>16</v>
      </c>
      <c r="E1286" s="1">
        <v>21</v>
      </c>
      <c r="F1286" s="1">
        <v>80</v>
      </c>
      <c r="G1286" s="1">
        <v>1680</v>
      </c>
      <c r="H1286" s="1">
        <v>0.04</v>
      </c>
      <c r="I1286" s="1">
        <v>67</v>
      </c>
      <c r="J1286" t="s">
        <v>25</v>
      </c>
    </row>
    <row r="1287" spans="1:10" x14ac:dyDescent="0.35">
      <c r="A1287" t="s">
        <v>1317</v>
      </c>
      <c r="B1287" s="2">
        <v>43311</v>
      </c>
      <c r="C1287" t="s">
        <v>11</v>
      </c>
      <c r="D1287" t="s">
        <v>16</v>
      </c>
      <c r="E1287" s="1">
        <v>9</v>
      </c>
      <c r="F1287" s="1">
        <v>80</v>
      </c>
      <c r="G1287" s="1">
        <v>720</v>
      </c>
      <c r="H1287" s="1">
        <v>0.03</v>
      </c>
      <c r="I1287" s="1">
        <v>22</v>
      </c>
      <c r="J1287" t="s">
        <v>28</v>
      </c>
    </row>
    <row r="1288" spans="1:10" x14ac:dyDescent="0.35">
      <c r="A1288" t="s">
        <v>1318</v>
      </c>
      <c r="B1288" s="2">
        <v>43311</v>
      </c>
      <c r="C1288" t="s">
        <v>15</v>
      </c>
      <c r="D1288" t="s">
        <v>16</v>
      </c>
      <c r="E1288" s="1">
        <v>4</v>
      </c>
      <c r="F1288" s="1">
        <v>40</v>
      </c>
      <c r="G1288" s="1">
        <v>160</v>
      </c>
      <c r="H1288" s="1">
        <v>0.12</v>
      </c>
      <c r="I1288" s="1">
        <v>19</v>
      </c>
      <c r="J1288" t="s">
        <v>17</v>
      </c>
    </row>
    <row r="1289" spans="1:10" x14ac:dyDescent="0.35">
      <c r="A1289" t="s">
        <v>1319</v>
      </c>
      <c r="B1289" s="2">
        <v>43311</v>
      </c>
      <c r="C1289" t="s">
        <v>19</v>
      </c>
      <c r="D1289" t="s">
        <v>24</v>
      </c>
      <c r="E1289" s="1">
        <v>5</v>
      </c>
      <c r="F1289" s="1">
        <v>230</v>
      </c>
      <c r="G1289" s="1">
        <v>1150</v>
      </c>
      <c r="H1289" s="1">
        <v>0.01</v>
      </c>
      <c r="I1289" s="1">
        <v>12</v>
      </c>
      <c r="J1289" t="s">
        <v>20</v>
      </c>
    </row>
    <row r="1290" spans="1:10" x14ac:dyDescent="0.35">
      <c r="A1290" t="s">
        <v>1320</v>
      </c>
      <c r="B1290" s="2">
        <v>43311</v>
      </c>
      <c r="C1290" t="s">
        <v>30</v>
      </c>
      <c r="D1290" t="s">
        <v>12</v>
      </c>
      <c r="E1290" s="1">
        <v>18</v>
      </c>
      <c r="F1290" s="1">
        <v>16</v>
      </c>
      <c r="G1290" s="1">
        <v>288</v>
      </c>
      <c r="H1290" s="1">
        <v>0.05</v>
      </c>
      <c r="I1290" s="1">
        <v>14</v>
      </c>
      <c r="J1290" t="s">
        <v>22</v>
      </c>
    </row>
    <row r="1291" spans="1:10" x14ac:dyDescent="0.35">
      <c r="A1291" t="s">
        <v>1321</v>
      </c>
      <c r="B1291" s="2">
        <v>43312</v>
      </c>
      <c r="C1291" t="s">
        <v>11</v>
      </c>
      <c r="D1291" t="s">
        <v>24</v>
      </c>
      <c r="E1291" s="1">
        <v>6</v>
      </c>
      <c r="F1291" s="1">
        <v>80</v>
      </c>
      <c r="G1291" s="1">
        <v>480</v>
      </c>
      <c r="H1291" s="1">
        <v>0.01</v>
      </c>
      <c r="I1291" s="1">
        <v>5</v>
      </c>
      <c r="J1291" t="s">
        <v>25</v>
      </c>
    </row>
    <row r="1292" spans="1:10" x14ac:dyDescent="0.35">
      <c r="A1292" t="s">
        <v>1322</v>
      </c>
      <c r="B1292" s="2">
        <v>43312</v>
      </c>
      <c r="C1292" t="s">
        <v>34</v>
      </c>
      <c r="D1292" t="s">
        <v>31</v>
      </c>
      <c r="E1292" s="1">
        <v>4</v>
      </c>
      <c r="F1292" s="1">
        <v>150</v>
      </c>
      <c r="G1292" s="1">
        <v>600</v>
      </c>
      <c r="H1292" s="1">
        <v>0.05</v>
      </c>
      <c r="I1292" s="1">
        <v>30</v>
      </c>
      <c r="J1292" t="s">
        <v>28</v>
      </c>
    </row>
    <row r="1293" spans="1:10" x14ac:dyDescent="0.35">
      <c r="A1293" t="s">
        <v>1323</v>
      </c>
      <c r="B1293" s="2">
        <v>43312</v>
      </c>
      <c r="C1293" t="s">
        <v>19</v>
      </c>
      <c r="D1293" t="s">
        <v>31</v>
      </c>
      <c r="E1293" s="1">
        <v>21</v>
      </c>
      <c r="F1293" s="1">
        <v>230</v>
      </c>
      <c r="G1293" s="1">
        <v>4830</v>
      </c>
      <c r="H1293" s="1">
        <v>0.05</v>
      </c>
      <c r="I1293" s="1">
        <v>242</v>
      </c>
      <c r="J1293" t="s">
        <v>32</v>
      </c>
    </row>
    <row r="1294" spans="1:10" x14ac:dyDescent="0.35">
      <c r="A1294" t="s">
        <v>1324</v>
      </c>
      <c r="B1294" s="2">
        <v>43312</v>
      </c>
      <c r="C1294" t="s">
        <v>34</v>
      </c>
      <c r="D1294" t="s">
        <v>12</v>
      </c>
      <c r="E1294" s="1">
        <v>4</v>
      </c>
      <c r="F1294" s="1">
        <v>150</v>
      </c>
      <c r="G1294" s="1">
        <v>600</v>
      </c>
      <c r="H1294" s="1">
        <v>0.06</v>
      </c>
      <c r="I1294" s="1">
        <v>36</v>
      </c>
      <c r="J1294" t="s">
        <v>35</v>
      </c>
    </row>
    <row r="1295" spans="1:10" x14ac:dyDescent="0.35">
      <c r="A1295" t="s">
        <v>1325</v>
      </c>
      <c r="B1295" s="2">
        <v>43312</v>
      </c>
      <c r="C1295" t="s">
        <v>11</v>
      </c>
      <c r="D1295" t="s">
        <v>16</v>
      </c>
      <c r="E1295" s="1">
        <v>2</v>
      </c>
      <c r="F1295" s="1">
        <v>80</v>
      </c>
      <c r="G1295" s="1">
        <v>160</v>
      </c>
      <c r="H1295" s="1">
        <v>0.04</v>
      </c>
      <c r="I1295" s="1">
        <v>6</v>
      </c>
      <c r="J1295" t="s">
        <v>37</v>
      </c>
    </row>
    <row r="1296" spans="1:10" x14ac:dyDescent="0.35">
      <c r="A1296" t="s">
        <v>1326</v>
      </c>
      <c r="B1296" s="2">
        <v>43312</v>
      </c>
      <c r="C1296" t="s">
        <v>30</v>
      </c>
      <c r="D1296" t="s">
        <v>16</v>
      </c>
      <c r="E1296" s="1">
        <v>5</v>
      </c>
      <c r="F1296" s="1">
        <v>16</v>
      </c>
      <c r="G1296" s="1">
        <v>80</v>
      </c>
      <c r="H1296" s="1">
        <v>0.11</v>
      </c>
      <c r="I1296" s="1">
        <v>9</v>
      </c>
      <c r="J1296" t="s">
        <v>39</v>
      </c>
    </row>
    <row r="1297" spans="1:10" x14ac:dyDescent="0.35">
      <c r="A1297" t="s">
        <v>1327</v>
      </c>
      <c r="B1297" s="2">
        <v>43312</v>
      </c>
      <c r="C1297" t="s">
        <v>34</v>
      </c>
      <c r="D1297" t="s">
        <v>31</v>
      </c>
      <c r="E1297" s="1">
        <v>23</v>
      </c>
      <c r="F1297" s="1">
        <v>150</v>
      </c>
      <c r="G1297" s="1">
        <v>3450</v>
      </c>
      <c r="H1297" s="1">
        <v>0.08</v>
      </c>
      <c r="I1297" s="1">
        <v>276</v>
      </c>
      <c r="J1297" t="s">
        <v>41</v>
      </c>
    </row>
    <row r="1298" spans="1:10" x14ac:dyDescent="0.35">
      <c r="A1298" t="s">
        <v>1328</v>
      </c>
      <c r="B1298" s="2">
        <v>43312</v>
      </c>
      <c r="C1298" t="s">
        <v>11</v>
      </c>
      <c r="D1298" t="s">
        <v>16</v>
      </c>
      <c r="E1298" s="1">
        <v>3</v>
      </c>
      <c r="F1298" s="1">
        <v>80</v>
      </c>
      <c r="G1298" s="1">
        <v>240</v>
      </c>
      <c r="H1298" s="1">
        <v>0.02</v>
      </c>
      <c r="I1298" s="1">
        <v>5</v>
      </c>
      <c r="J1298" t="s">
        <v>43</v>
      </c>
    </row>
    <row r="1299" spans="1:10" x14ac:dyDescent="0.35">
      <c r="A1299" t="s">
        <v>1329</v>
      </c>
      <c r="B1299" s="2">
        <v>43312</v>
      </c>
      <c r="C1299" t="s">
        <v>19</v>
      </c>
      <c r="D1299" t="s">
        <v>31</v>
      </c>
      <c r="E1299" s="1">
        <v>17</v>
      </c>
      <c r="F1299" s="1">
        <v>230</v>
      </c>
      <c r="G1299" s="1">
        <v>3910</v>
      </c>
      <c r="H1299" s="1">
        <v>0.11</v>
      </c>
      <c r="I1299" s="1">
        <v>430</v>
      </c>
      <c r="J1299" t="s">
        <v>13</v>
      </c>
    </row>
    <row r="1300" spans="1:10" x14ac:dyDescent="0.35">
      <c r="A1300" t="s">
        <v>1330</v>
      </c>
      <c r="B1300" s="2">
        <v>43312</v>
      </c>
      <c r="C1300" t="s">
        <v>15</v>
      </c>
      <c r="D1300" t="s">
        <v>24</v>
      </c>
      <c r="E1300" s="1">
        <v>11</v>
      </c>
      <c r="F1300" s="1">
        <v>40</v>
      </c>
      <c r="G1300" s="1">
        <v>440</v>
      </c>
      <c r="H1300" s="1">
        <v>0.05</v>
      </c>
      <c r="I1300" s="1">
        <v>22</v>
      </c>
      <c r="J1300" t="s">
        <v>17</v>
      </c>
    </row>
    <row r="1301" spans="1:10" x14ac:dyDescent="0.35">
      <c r="A1301" t="s">
        <v>1331</v>
      </c>
      <c r="B1301" s="2">
        <v>43312</v>
      </c>
      <c r="C1301" t="s">
        <v>15</v>
      </c>
      <c r="D1301" t="s">
        <v>24</v>
      </c>
      <c r="E1301" s="1">
        <v>13</v>
      </c>
      <c r="F1301" s="1">
        <v>40</v>
      </c>
      <c r="G1301" s="1">
        <v>520</v>
      </c>
      <c r="H1301" s="1">
        <v>0.02</v>
      </c>
      <c r="I1301" s="1">
        <v>10</v>
      </c>
      <c r="J13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2E94-24C2-424E-935A-B95C88637DB8}">
  <dimension ref="B2:I15"/>
  <sheetViews>
    <sheetView workbookViewId="0">
      <selection activeCell="H17" sqref="H17"/>
    </sheetView>
  </sheetViews>
  <sheetFormatPr defaultRowHeight="14.5" x14ac:dyDescent="0.35"/>
  <cols>
    <col min="2" max="2" width="19.36328125" customWidth="1"/>
    <col min="3" max="3" width="16.6328125" bestFit="1" customWidth="1"/>
    <col min="4" max="4" width="9.54296875" customWidth="1"/>
    <col min="8" max="8" width="24.1796875" customWidth="1"/>
    <col min="9" max="9" width="21.26953125" customWidth="1"/>
  </cols>
  <sheetData>
    <row r="2" spans="2:9" ht="15" thickBot="1" x14ac:dyDescent="0.4">
      <c r="B2" t="s">
        <v>1338</v>
      </c>
    </row>
    <row r="3" spans="2:9" x14ac:dyDescent="0.35">
      <c r="C3" s="5" t="s">
        <v>1336</v>
      </c>
      <c r="H3" s="8" t="str">
        <f t="shared" ref="H3:H4" si="0">C3</f>
        <v>Count of Order IDs</v>
      </c>
      <c r="I3" s="9" t="str">
        <f>C11</f>
        <v>Total Commision</v>
      </c>
    </row>
    <row r="4" spans="2:9" x14ac:dyDescent="0.35">
      <c r="C4" s="6">
        <v>1300</v>
      </c>
      <c r="H4" s="10">
        <f t="shared" si="0"/>
        <v>1300</v>
      </c>
      <c r="I4" s="11">
        <f>C12</f>
        <v>100161</v>
      </c>
    </row>
    <row r="5" spans="2:9" x14ac:dyDescent="0.35">
      <c r="H5" s="12"/>
      <c r="I5" s="13"/>
    </row>
    <row r="6" spans="2:9" x14ac:dyDescent="0.35">
      <c r="B6" t="s">
        <v>1339</v>
      </c>
      <c r="H6" s="14" t="str">
        <f>C7</f>
        <v>Sum of Total Sales</v>
      </c>
      <c r="I6" s="15" t="s">
        <v>1348</v>
      </c>
    </row>
    <row r="7" spans="2:9" ht="15" thickBot="1" x14ac:dyDescent="0.4">
      <c r="C7" s="5" t="s">
        <v>1334</v>
      </c>
      <c r="H7" s="16">
        <f>C8</f>
        <v>1585146</v>
      </c>
      <c r="I7" s="17">
        <f>GETPIVOTDATA("[Measures].[Sum of Total Sales]",$C$7)-GETPIVOTDATA("[Measures].[Sum of Total Commision]",$C$11)</f>
        <v>1484985</v>
      </c>
    </row>
    <row r="8" spans="2:9" x14ac:dyDescent="0.35">
      <c r="C8" s="6">
        <v>1585146</v>
      </c>
    </row>
    <row r="10" spans="2:9" x14ac:dyDescent="0.35">
      <c r="B10" t="s">
        <v>1340</v>
      </c>
    </row>
    <row r="11" spans="2:9" x14ac:dyDescent="0.35">
      <c r="C11" s="5" t="s">
        <v>8</v>
      </c>
    </row>
    <row r="12" spans="2:9" x14ac:dyDescent="0.35">
      <c r="C12" s="6">
        <v>100161</v>
      </c>
    </row>
    <row r="14" spans="2:9" x14ac:dyDescent="0.35">
      <c r="B14" s="1" t="s">
        <v>1341</v>
      </c>
    </row>
    <row r="15" spans="2:9" x14ac:dyDescent="0.35">
      <c r="C15" s="5">
        <f>GETPIVOTDATA("[Measures].[Sum of Total Sales]",$C$7)-GETPIVOTDATA("[Measures].[Sum of Total Commision]",$C$11)</f>
        <v>1484985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99DD-7950-4341-A7E4-708E83F355B9}">
  <dimension ref="B2:G81"/>
  <sheetViews>
    <sheetView topLeftCell="A31" workbookViewId="0">
      <selection activeCell="G49" sqref="G49"/>
    </sheetView>
  </sheetViews>
  <sheetFormatPr defaultColWidth="26.36328125" defaultRowHeight="14.5" x14ac:dyDescent="0.35"/>
  <cols>
    <col min="1" max="1" width="7.7265625" customWidth="1"/>
    <col min="3" max="3" width="12.36328125" bestFit="1" customWidth="1"/>
    <col min="4" max="4" width="14.54296875" bestFit="1" customWidth="1"/>
    <col min="5" max="5" width="15.7265625" customWidth="1"/>
  </cols>
  <sheetData>
    <row r="2" spans="2:4" x14ac:dyDescent="0.35">
      <c r="B2" t="s">
        <v>1342</v>
      </c>
    </row>
    <row r="4" spans="2:4" x14ac:dyDescent="0.35">
      <c r="C4" s="3" t="s">
        <v>1332</v>
      </c>
      <c r="D4" t="s">
        <v>1337</v>
      </c>
    </row>
    <row r="5" spans="2:4" x14ac:dyDescent="0.35">
      <c r="C5" s="1" t="s">
        <v>30</v>
      </c>
      <c r="D5" s="4">
        <v>3071</v>
      </c>
    </row>
    <row r="6" spans="2:4" x14ac:dyDescent="0.35">
      <c r="C6" s="1" t="s">
        <v>19</v>
      </c>
      <c r="D6" s="4">
        <v>2648</v>
      </c>
    </row>
    <row r="7" spans="2:4" x14ac:dyDescent="0.35">
      <c r="C7" s="1" t="s">
        <v>11</v>
      </c>
      <c r="D7" s="4">
        <v>3823</v>
      </c>
    </row>
    <row r="8" spans="2:4" x14ac:dyDescent="0.35">
      <c r="C8" s="1" t="s">
        <v>34</v>
      </c>
      <c r="D8" s="4">
        <v>3067</v>
      </c>
    </row>
    <row r="9" spans="2:4" x14ac:dyDescent="0.35">
      <c r="C9" s="1" t="s">
        <v>15</v>
      </c>
      <c r="D9" s="4">
        <v>4027</v>
      </c>
    </row>
    <row r="10" spans="2:4" x14ac:dyDescent="0.35">
      <c r="C10" s="1" t="s">
        <v>1333</v>
      </c>
      <c r="D10" s="4">
        <v>16636</v>
      </c>
    </row>
    <row r="12" spans="2:4" x14ac:dyDescent="0.35">
      <c r="B12" s="1" t="s">
        <v>1343</v>
      </c>
    </row>
    <row r="14" spans="2:4" x14ac:dyDescent="0.35">
      <c r="C14" s="3" t="s">
        <v>1332</v>
      </c>
      <c r="D14" t="s">
        <v>1334</v>
      </c>
    </row>
    <row r="15" spans="2:4" x14ac:dyDescent="0.35">
      <c r="C15" s="1" t="s">
        <v>31</v>
      </c>
      <c r="D15" s="4">
        <v>306530</v>
      </c>
    </row>
    <row r="16" spans="2:4" x14ac:dyDescent="0.35">
      <c r="C16" s="1" t="s">
        <v>12</v>
      </c>
      <c r="D16" s="4">
        <v>320220</v>
      </c>
    </row>
    <row r="17" spans="2:4" x14ac:dyDescent="0.35">
      <c r="C17" s="1" t="s">
        <v>24</v>
      </c>
      <c r="D17" s="4">
        <v>307656</v>
      </c>
    </row>
    <row r="18" spans="2:4" x14ac:dyDescent="0.35">
      <c r="C18" s="1" t="s">
        <v>16</v>
      </c>
      <c r="D18" s="4">
        <v>321258</v>
      </c>
    </row>
    <row r="19" spans="2:4" x14ac:dyDescent="0.35">
      <c r="C19" s="1" t="s">
        <v>27</v>
      </c>
      <c r="D19" s="4">
        <v>329482</v>
      </c>
    </row>
    <row r="20" spans="2:4" x14ac:dyDescent="0.35">
      <c r="C20" s="1" t="s">
        <v>1333</v>
      </c>
      <c r="D20" s="4">
        <v>1585146</v>
      </c>
    </row>
    <row r="22" spans="2:4" x14ac:dyDescent="0.35">
      <c r="B22" t="s">
        <v>1344</v>
      </c>
    </row>
    <row r="24" spans="2:4" x14ac:dyDescent="0.35">
      <c r="C24" s="3" t="s">
        <v>1332</v>
      </c>
      <c r="D24" t="s">
        <v>1335</v>
      </c>
    </row>
    <row r="25" spans="2:4" x14ac:dyDescent="0.35">
      <c r="C25" s="1" t="s">
        <v>31</v>
      </c>
      <c r="D25" s="4">
        <v>23569</v>
      </c>
    </row>
    <row r="26" spans="2:4" x14ac:dyDescent="0.35">
      <c r="C26" s="1" t="s">
        <v>12</v>
      </c>
      <c r="D26" s="4">
        <v>17876</v>
      </c>
    </row>
    <row r="27" spans="2:4" x14ac:dyDescent="0.35">
      <c r="C27" s="1" t="s">
        <v>24</v>
      </c>
      <c r="D27" s="4">
        <v>17624</v>
      </c>
    </row>
    <row r="28" spans="2:4" x14ac:dyDescent="0.35">
      <c r="C28" s="1" t="s">
        <v>16</v>
      </c>
      <c r="D28" s="4">
        <v>21016</v>
      </c>
    </row>
    <row r="29" spans="2:4" x14ac:dyDescent="0.35">
      <c r="C29" s="1" t="s">
        <v>27</v>
      </c>
      <c r="D29" s="4">
        <v>20076</v>
      </c>
    </row>
    <row r="30" spans="2:4" x14ac:dyDescent="0.35">
      <c r="C30" s="1" t="s">
        <v>1333</v>
      </c>
      <c r="D30" s="4">
        <v>100161</v>
      </c>
    </row>
    <row r="32" spans="2:4" x14ac:dyDescent="0.35">
      <c r="B32" t="s">
        <v>1346</v>
      </c>
    </row>
    <row r="33" spans="2:7" x14ac:dyDescent="0.35">
      <c r="C33" s="3" t="s">
        <v>1332</v>
      </c>
      <c r="D33" t="s">
        <v>1336</v>
      </c>
      <c r="F33" t="s">
        <v>1347</v>
      </c>
    </row>
    <row r="34" spans="2:7" x14ac:dyDescent="0.35">
      <c r="C34" s="1" t="s">
        <v>28</v>
      </c>
      <c r="D34" s="4">
        <v>104</v>
      </c>
      <c r="F34" s="7" t="str">
        <f t="shared" ref="F34:F45" si="0">C34</f>
        <v>Bihar</v>
      </c>
      <c r="G34" s="7">
        <f t="shared" ref="G34:G45" si="1">D34</f>
        <v>104</v>
      </c>
    </row>
    <row r="35" spans="2:7" x14ac:dyDescent="0.35">
      <c r="C35" s="1" t="s">
        <v>22</v>
      </c>
      <c r="D35" s="4">
        <v>105</v>
      </c>
      <c r="F35" s="7" t="str">
        <f t="shared" si="0"/>
        <v>Delhi</v>
      </c>
      <c r="G35" s="7">
        <f t="shared" si="1"/>
        <v>105</v>
      </c>
    </row>
    <row r="36" spans="2:7" x14ac:dyDescent="0.35">
      <c r="C36" s="1" t="s">
        <v>32</v>
      </c>
      <c r="D36" s="4">
        <v>120</v>
      </c>
      <c r="F36" s="7" t="str">
        <f t="shared" si="0"/>
        <v>Goa</v>
      </c>
      <c r="G36" s="7">
        <f t="shared" si="1"/>
        <v>120</v>
      </c>
    </row>
    <row r="37" spans="2:7" x14ac:dyDescent="0.35">
      <c r="C37" s="1" t="s">
        <v>37</v>
      </c>
      <c r="D37" s="4">
        <v>163</v>
      </c>
      <c r="F37" s="7" t="str">
        <f t="shared" si="0"/>
        <v>Gujarat</v>
      </c>
      <c r="G37" s="7">
        <f t="shared" si="1"/>
        <v>163</v>
      </c>
    </row>
    <row r="38" spans="2:7" x14ac:dyDescent="0.35">
      <c r="C38" s="1" t="s">
        <v>41</v>
      </c>
      <c r="D38" s="4">
        <v>68</v>
      </c>
      <c r="F38" s="7" t="str">
        <f t="shared" si="0"/>
        <v>Haryana</v>
      </c>
      <c r="G38" s="7">
        <f t="shared" si="1"/>
        <v>68</v>
      </c>
    </row>
    <row r="39" spans="2:7" x14ac:dyDescent="0.35">
      <c r="C39" s="1" t="s">
        <v>39</v>
      </c>
      <c r="D39" s="4">
        <v>119</v>
      </c>
      <c r="F39" s="7" t="str">
        <f t="shared" si="0"/>
        <v>Jharkhand</v>
      </c>
      <c r="G39" s="7">
        <f t="shared" si="1"/>
        <v>119</v>
      </c>
    </row>
    <row r="40" spans="2:7" x14ac:dyDescent="0.35">
      <c r="C40" s="1" t="s">
        <v>35</v>
      </c>
      <c r="D40" s="4">
        <v>119</v>
      </c>
      <c r="F40" s="7" t="str">
        <f t="shared" si="0"/>
        <v>Karnataka</v>
      </c>
      <c r="G40" s="7">
        <f t="shared" si="1"/>
        <v>119</v>
      </c>
    </row>
    <row r="41" spans="2:7" x14ac:dyDescent="0.35">
      <c r="C41" s="1" t="s">
        <v>43</v>
      </c>
      <c r="D41" s="4">
        <v>68</v>
      </c>
      <c r="F41" s="7" t="str">
        <f t="shared" si="0"/>
        <v>Kerala</v>
      </c>
      <c r="G41" s="7">
        <f t="shared" si="1"/>
        <v>68</v>
      </c>
    </row>
    <row r="42" spans="2:7" x14ac:dyDescent="0.35">
      <c r="C42" s="1" t="s">
        <v>20</v>
      </c>
      <c r="D42" s="4">
        <v>150</v>
      </c>
      <c r="F42" s="7" t="str">
        <f t="shared" si="0"/>
        <v>Maharashtra</v>
      </c>
      <c r="G42" s="7">
        <f t="shared" si="1"/>
        <v>150</v>
      </c>
    </row>
    <row r="43" spans="2:7" x14ac:dyDescent="0.35">
      <c r="C43" s="1" t="s">
        <v>13</v>
      </c>
      <c r="D43" s="4">
        <v>76</v>
      </c>
      <c r="F43" s="7" t="str">
        <f t="shared" si="0"/>
        <v>Meghalaya</v>
      </c>
      <c r="G43" s="7">
        <f t="shared" si="1"/>
        <v>76</v>
      </c>
    </row>
    <row r="44" spans="2:7" x14ac:dyDescent="0.35">
      <c r="C44" s="1" t="s">
        <v>17</v>
      </c>
      <c r="D44" s="4">
        <v>105</v>
      </c>
      <c r="F44" s="7" t="str">
        <f t="shared" si="0"/>
        <v>Uttar Pradesh</v>
      </c>
      <c r="G44" s="7">
        <f t="shared" si="1"/>
        <v>105</v>
      </c>
    </row>
    <row r="45" spans="2:7" x14ac:dyDescent="0.35">
      <c r="C45" s="1" t="s">
        <v>25</v>
      </c>
      <c r="D45" s="4">
        <v>103</v>
      </c>
      <c r="F45" s="7" t="str">
        <f t="shared" si="0"/>
        <v>West Bengal</v>
      </c>
      <c r="G45" s="7">
        <f t="shared" si="1"/>
        <v>103</v>
      </c>
    </row>
    <row r="46" spans="2:7" x14ac:dyDescent="0.35">
      <c r="C46" s="1" t="s">
        <v>1333</v>
      </c>
      <c r="D46" s="4">
        <v>1300</v>
      </c>
    </row>
    <row r="48" spans="2:7" x14ac:dyDescent="0.35">
      <c r="B48" t="s">
        <v>1345</v>
      </c>
    </row>
    <row r="49" spans="3:4" x14ac:dyDescent="0.35">
      <c r="C49" s="3" t="s">
        <v>1332</v>
      </c>
      <c r="D49" t="s">
        <v>1336</v>
      </c>
    </row>
    <row r="50" spans="3:4" x14ac:dyDescent="0.35">
      <c r="C50" s="2">
        <v>43282</v>
      </c>
      <c r="D50" s="4">
        <v>39</v>
      </c>
    </row>
    <row r="51" spans="3:4" x14ac:dyDescent="0.35">
      <c r="C51" s="2">
        <v>43283</v>
      </c>
      <c r="D51" s="4">
        <v>33</v>
      </c>
    </row>
    <row r="52" spans="3:4" x14ac:dyDescent="0.35">
      <c r="C52" s="2">
        <v>43284</v>
      </c>
      <c r="D52" s="4">
        <v>36</v>
      </c>
    </row>
    <row r="53" spans="3:4" x14ac:dyDescent="0.35">
      <c r="C53" s="2">
        <v>43285</v>
      </c>
      <c r="D53" s="4">
        <v>35</v>
      </c>
    </row>
    <row r="54" spans="3:4" x14ac:dyDescent="0.35">
      <c r="C54" s="2">
        <v>43286</v>
      </c>
      <c r="D54" s="4">
        <v>42</v>
      </c>
    </row>
    <row r="55" spans="3:4" x14ac:dyDescent="0.35">
      <c r="C55" s="2">
        <v>43287</v>
      </c>
      <c r="D55" s="4">
        <v>47</v>
      </c>
    </row>
    <row r="56" spans="3:4" x14ac:dyDescent="0.35">
      <c r="C56" s="2">
        <v>43288</v>
      </c>
      <c r="D56" s="4">
        <v>53</v>
      </c>
    </row>
    <row r="57" spans="3:4" x14ac:dyDescent="0.35">
      <c r="C57" s="2">
        <v>43289</v>
      </c>
      <c r="D57" s="4">
        <v>50</v>
      </c>
    </row>
    <row r="58" spans="3:4" x14ac:dyDescent="0.35">
      <c r="C58" s="2">
        <v>43290</v>
      </c>
      <c r="D58" s="4">
        <v>38</v>
      </c>
    </row>
    <row r="59" spans="3:4" x14ac:dyDescent="0.35">
      <c r="C59" s="2">
        <v>43291</v>
      </c>
      <c r="D59" s="4">
        <v>50</v>
      </c>
    </row>
    <row r="60" spans="3:4" x14ac:dyDescent="0.35">
      <c r="C60" s="2">
        <v>43292</v>
      </c>
      <c r="D60" s="4">
        <v>43</v>
      </c>
    </row>
    <row r="61" spans="3:4" x14ac:dyDescent="0.35">
      <c r="C61" s="2">
        <v>43293</v>
      </c>
      <c r="D61" s="4">
        <v>30</v>
      </c>
    </row>
    <row r="62" spans="3:4" x14ac:dyDescent="0.35">
      <c r="C62" s="2">
        <v>43294</v>
      </c>
      <c r="D62" s="4">
        <v>48</v>
      </c>
    </row>
    <row r="63" spans="3:4" x14ac:dyDescent="0.35">
      <c r="C63" s="2">
        <v>43295</v>
      </c>
      <c r="D63" s="4">
        <v>46</v>
      </c>
    </row>
    <row r="64" spans="3:4" x14ac:dyDescent="0.35">
      <c r="C64" s="2">
        <v>43296</v>
      </c>
      <c r="D64" s="4">
        <v>45</v>
      </c>
    </row>
    <row r="65" spans="3:4" x14ac:dyDescent="0.35">
      <c r="C65" s="2">
        <v>43297</v>
      </c>
      <c r="D65" s="4">
        <v>48</v>
      </c>
    </row>
    <row r="66" spans="3:4" x14ac:dyDescent="0.35">
      <c r="C66" s="2">
        <v>43298</v>
      </c>
      <c r="D66" s="4">
        <v>48</v>
      </c>
    </row>
    <row r="67" spans="3:4" x14ac:dyDescent="0.35">
      <c r="C67" s="2">
        <v>43299</v>
      </c>
      <c r="D67" s="4">
        <v>41</v>
      </c>
    </row>
    <row r="68" spans="3:4" x14ac:dyDescent="0.35">
      <c r="C68" s="2">
        <v>43300</v>
      </c>
      <c r="D68" s="4">
        <v>44</v>
      </c>
    </row>
    <row r="69" spans="3:4" x14ac:dyDescent="0.35">
      <c r="C69" s="2">
        <v>43301</v>
      </c>
      <c r="D69" s="4">
        <v>34</v>
      </c>
    </row>
    <row r="70" spans="3:4" x14ac:dyDescent="0.35">
      <c r="C70" s="2">
        <v>43302</v>
      </c>
      <c r="D70" s="4">
        <v>47</v>
      </c>
    </row>
    <row r="71" spans="3:4" x14ac:dyDescent="0.35">
      <c r="C71" s="2">
        <v>43303</v>
      </c>
      <c r="D71" s="4">
        <v>38</v>
      </c>
    </row>
    <row r="72" spans="3:4" x14ac:dyDescent="0.35">
      <c r="C72" s="2">
        <v>43304</v>
      </c>
      <c r="D72" s="4">
        <v>39</v>
      </c>
    </row>
    <row r="73" spans="3:4" x14ac:dyDescent="0.35">
      <c r="C73" s="2">
        <v>43305</v>
      </c>
      <c r="D73" s="4">
        <v>46</v>
      </c>
    </row>
    <row r="74" spans="3:4" x14ac:dyDescent="0.35">
      <c r="C74" s="2">
        <v>43306</v>
      </c>
      <c r="D74" s="4">
        <v>49</v>
      </c>
    </row>
    <row r="75" spans="3:4" x14ac:dyDescent="0.35">
      <c r="C75" s="2">
        <v>43307</v>
      </c>
      <c r="D75" s="4">
        <v>47</v>
      </c>
    </row>
    <row r="76" spans="3:4" x14ac:dyDescent="0.35">
      <c r="C76" s="2">
        <v>43308</v>
      </c>
      <c r="D76" s="4">
        <v>52</v>
      </c>
    </row>
    <row r="77" spans="3:4" x14ac:dyDescent="0.35">
      <c r="C77" s="2">
        <v>43309</v>
      </c>
      <c r="D77" s="4">
        <v>37</v>
      </c>
    </row>
    <row r="78" spans="3:4" x14ac:dyDescent="0.35">
      <c r="C78" s="2">
        <v>43310</v>
      </c>
      <c r="D78" s="4">
        <v>42</v>
      </c>
    </row>
    <row r="79" spans="3:4" x14ac:dyDescent="0.35">
      <c r="C79" s="2">
        <v>43311</v>
      </c>
      <c r="D79" s="4">
        <v>28</v>
      </c>
    </row>
    <row r="80" spans="3:4" x14ac:dyDescent="0.35">
      <c r="C80" s="2">
        <v>43312</v>
      </c>
      <c r="D80" s="4">
        <v>25</v>
      </c>
    </row>
    <row r="81" spans="3:4" x14ac:dyDescent="0.35">
      <c r="C81" s="1" t="s">
        <v>1333</v>
      </c>
      <c r="D81" s="4">
        <v>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E873-F049-4DF0-80EB-E08CA8C0AE1E}">
  <dimension ref="A1:T21"/>
  <sheetViews>
    <sheetView tabSelected="1" workbookViewId="0">
      <selection activeCell="T8" sqref="T8"/>
    </sheetView>
  </sheetViews>
  <sheetFormatPr defaultRowHeight="14.5" x14ac:dyDescent="0.35"/>
  <cols>
    <col min="10" max="10" width="6" customWidth="1"/>
    <col min="13" max="13" width="9.7265625" customWidth="1"/>
  </cols>
  <sheetData>
    <row r="1" spans="1:20" ht="15" thickBot="1" x14ac:dyDescent="0.4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x14ac:dyDescent="0.35">
      <c r="A2" s="30"/>
      <c r="G2" s="30"/>
      <c r="H2" s="24" t="str">
        <f>KPI!H3</f>
        <v>Count of Order IDs</v>
      </c>
      <c r="I2" s="25"/>
      <c r="J2" s="30"/>
      <c r="K2" s="25" t="str">
        <f>KPI!I3</f>
        <v>Total Commision</v>
      </c>
      <c r="L2" s="26"/>
      <c r="M2" s="30"/>
      <c r="T2" s="30"/>
    </row>
    <row r="3" spans="1:20" x14ac:dyDescent="0.35">
      <c r="A3" s="30"/>
      <c r="G3" s="30"/>
      <c r="H3" s="19">
        <f>KPI!H4</f>
        <v>1300</v>
      </c>
      <c r="I3" s="18"/>
      <c r="J3" s="30"/>
      <c r="K3" s="18">
        <f>KPI!I4</f>
        <v>100161</v>
      </c>
      <c r="L3" s="20"/>
      <c r="M3" s="30"/>
      <c r="T3" s="30"/>
    </row>
    <row r="4" spans="1:20" x14ac:dyDescent="0.35">
      <c r="A4" s="30"/>
      <c r="H4" s="30"/>
      <c r="I4" s="30"/>
      <c r="J4" s="30"/>
      <c r="K4" s="30"/>
      <c r="L4" s="30"/>
      <c r="M4" s="30"/>
      <c r="T4" s="30"/>
    </row>
    <row r="5" spans="1:20" x14ac:dyDescent="0.35">
      <c r="A5" s="30"/>
      <c r="G5" s="30"/>
      <c r="H5" s="27" t="str">
        <f>KPI!H6</f>
        <v>Sum of Total Sales</v>
      </c>
      <c r="I5" s="28"/>
      <c r="J5" s="30"/>
      <c r="K5" s="28" t="str">
        <f>KPI!I6</f>
        <v>Net Sales</v>
      </c>
      <c r="L5" s="29"/>
      <c r="M5" s="30"/>
      <c r="T5" s="30"/>
    </row>
    <row r="6" spans="1:20" ht="15" thickBot="1" x14ac:dyDescent="0.4">
      <c r="A6" s="30"/>
      <c r="G6" s="30"/>
      <c r="H6" s="21">
        <f>KPI!H7</f>
        <v>1585146</v>
      </c>
      <c r="I6" s="22"/>
      <c r="J6" s="30"/>
      <c r="K6" s="22">
        <f>KPI!I7</f>
        <v>1484985</v>
      </c>
      <c r="L6" s="23"/>
      <c r="M6" s="30"/>
      <c r="T6" s="30"/>
    </row>
    <row r="7" spans="1:20" x14ac:dyDescent="0.35">
      <c r="A7" s="30"/>
      <c r="G7" s="30"/>
      <c r="H7" s="30"/>
      <c r="I7" s="30"/>
      <c r="J7" s="30"/>
      <c r="K7" s="30"/>
      <c r="L7" s="30"/>
      <c r="M7" s="30"/>
      <c r="T7" s="30"/>
    </row>
    <row r="8" spans="1:20" x14ac:dyDescent="0.35">
      <c r="A8" s="30"/>
      <c r="G8" s="30"/>
      <c r="M8" s="30"/>
      <c r="T8" s="30"/>
    </row>
    <row r="9" spans="1:20" x14ac:dyDescent="0.35">
      <c r="A9" s="30"/>
      <c r="G9" s="30"/>
      <c r="M9" s="30"/>
      <c r="T9" s="30"/>
    </row>
    <row r="10" spans="1:20" x14ac:dyDescent="0.35">
      <c r="A10" s="30"/>
      <c r="G10" s="30"/>
      <c r="M10" s="30"/>
      <c r="T10" s="30"/>
    </row>
    <row r="11" spans="1:20" x14ac:dyDescent="0.35">
      <c r="A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x14ac:dyDescent="0.35">
      <c r="A12" s="30"/>
      <c r="G12" s="30"/>
      <c r="M12" s="30"/>
      <c r="T12" s="30"/>
    </row>
    <row r="13" spans="1:20" x14ac:dyDescent="0.35">
      <c r="A13" s="30"/>
      <c r="G13" s="30"/>
      <c r="M13" s="30"/>
      <c r="T13" s="30"/>
    </row>
    <row r="14" spans="1:20" x14ac:dyDescent="0.35">
      <c r="A14" s="30"/>
      <c r="G14" s="30"/>
      <c r="M14" s="30"/>
      <c r="T14" s="30"/>
    </row>
    <row r="15" spans="1:20" x14ac:dyDescent="0.35">
      <c r="A15" s="30"/>
      <c r="G15" s="30"/>
      <c r="M15" s="30"/>
      <c r="T15" s="30"/>
    </row>
    <row r="16" spans="1:20" x14ac:dyDescent="0.35">
      <c r="A16" s="30"/>
      <c r="G16" s="30"/>
      <c r="M16" s="30"/>
      <c r="T16" s="30"/>
    </row>
    <row r="17" spans="1:20" x14ac:dyDescent="0.35">
      <c r="A17" s="30"/>
      <c r="G17" s="30"/>
      <c r="M17" s="30"/>
      <c r="T17" s="30"/>
    </row>
    <row r="18" spans="1:20" x14ac:dyDescent="0.35">
      <c r="A18" s="30"/>
      <c r="G18" s="30"/>
      <c r="M18" s="30"/>
      <c r="T18" s="30"/>
    </row>
    <row r="19" spans="1:20" x14ac:dyDescent="0.35">
      <c r="A19" s="30"/>
      <c r="G19" s="30"/>
      <c r="M19" s="30"/>
      <c r="T19" s="30"/>
    </row>
    <row r="20" spans="1:20" x14ac:dyDescent="0.35">
      <c r="A20" s="30"/>
      <c r="G20" s="30"/>
      <c r="M20" s="30"/>
      <c r="T20" s="30"/>
    </row>
    <row r="21" spans="1:20" x14ac:dyDescent="0.3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</sheetData>
  <mergeCells count="8">
    <mergeCell ref="H2:I2"/>
    <mergeCell ref="H3:I3"/>
    <mergeCell ref="H5:I5"/>
    <mergeCell ref="H6:I6"/>
    <mergeCell ref="K3:L3"/>
    <mergeCell ref="K5:L5"/>
    <mergeCell ref="K6:L6"/>
    <mergeCell ref="K2:L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3947A-ED25-4CBF-B25A-27BEC83A2E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KPI</vt:lpstr>
      <vt:lpstr>Charts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2026-03-14T06:20:40Z</dcterms:modified>
</cp:coreProperties>
</file>